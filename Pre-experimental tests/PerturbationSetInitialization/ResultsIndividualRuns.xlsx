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mlrdp\SLANJE ASOC\ASOC recenzija 29Apr2026\DodatnaTetiranja\PerturbationSetInitialization\"/>
    </mc:Choice>
  </mc:AlternateContent>
  <xr:revisionPtr revIDLastSave="0" documentId="13_ncr:1_{380EEEFE-4E56-4F16-8F88-342C2F457A79}" xr6:coauthVersionLast="47" xr6:coauthVersionMax="47" xr10:uidLastSave="{00000000-0000-0000-0000-000000000000}"/>
  <bookViews>
    <workbookView xWindow="28680" yWindow="-120" windowWidth="29040" windowHeight="15840" activeTab="2" xr2:uid="{26BC7447-C443-4BA7-89A0-D49102D3E4C4}"/>
  </bookViews>
  <sheets>
    <sheet name="RanomInitialization" sheetId="1" r:id="rId1"/>
    <sheet name="NeighborhoodBasedInitialization" sheetId="4" r:id="rId2"/>
    <sheet name="SuccessRateComparison" sheetId="2" r:id="rId3"/>
    <sheet name="TimeComparis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3" l="1"/>
  <c r="I40" i="3"/>
  <c r="J25" i="3"/>
  <c r="I25" i="3"/>
  <c r="J9" i="3"/>
  <c r="I9" i="3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2" i="1"/>
  <c r="O51" i="1" s="1"/>
</calcChain>
</file>

<file path=xl/sharedStrings.xml><?xml version="1.0" encoding="utf-8"?>
<sst xmlns="http://schemas.openxmlformats.org/spreadsheetml/2006/main" count="237" uniqueCount="34">
  <si>
    <t>instance</t>
  </si>
  <si>
    <t>seed</t>
  </si>
  <si>
    <t>objective funtion (Greedy)</t>
  </si>
  <si>
    <t>objective function (GA)</t>
  </si>
  <si>
    <t>total searches</t>
  </si>
  <si>
    <t>successfull searches</t>
  </si>
  <si>
    <t>percentage successfull</t>
  </si>
  <si>
    <t>time (in seconds)</t>
  </si>
  <si>
    <t>generations</t>
  </si>
  <si>
    <t>first feasible solution (generation)</t>
  </si>
  <si>
    <t>best solution (generation)</t>
  </si>
  <si>
    <t>best solution time</t>
  </si>
  <si>
    <t>2Layers</t>
  </si>
  <si>
    <t>4Layers</t>
  </si>
  <si>
    <t>n100-M10</t>
  </si>
  <si>
    <t>n100-M5</t>
  </si>
  <si>
    <t>n1000-M10</t>
  </si>
  <si>
    <t>n1000-M2</t>
  </si>
  <si>
    <t>n1000-M5</t>
  </si>
  <si>
    <t>PPI</t>
  </si>
  <si>
    <t>Random</t>
  </si>
  <si>
    <t>NS</t>
  </si>
  <si>
    <t>n100</t>
  </si>
  <si>
    <t>n1000</t>
  </si>
  <si>
    <t>percentage successful (Random Samping)</t>
  </si>
  <si>
    <t>percentage successful (Neighborhood-based)</t>
  </si>
  <si>
    <t>Instance</t>
  </si>
  <si>
    <t>Random Sampling Has Higher Success Rate</t>
  </si>
  <si>
    <t>Both Samplings Have Same Success Rate</t>
  </si>
  <si>
    <t>Neighborhood-based Sampling Has Higher Success Rate</t>
  </si>
  <si>
    <t>k</t>
  </si>
  <si>
    <t>average seach time per generation (RandomInitialization)</t>
  </si>
  <si>
    <t>average seach time per generation (NeighborhoodBasedInitialization)</t>
  </si>
  <si>
    <t>Average time per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</si>
</sst>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C787-2730-4AB6-A98D-EDE545146DC4}">
  <dimension ref="A1:O51"/>
  <sheetViews>
    <sheetView topLeftCell="A13" workbookViewId="0">
      <selection activeCell="B2" sqref="B2"/>
    </sheetView>
  </sheetViews>
  <sheetFormatPr defaultRowHeight="14.4" x14ac:dyDescent="0.3"/>
  <sheetData>
    <row r="1" spans="1:15" x14ac:dyDescent="0.3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5" x14ac:dyDescent="0.3">
      <c r="A2" t="s">
        <v>12</v>
      </c>
      <c r="B2">
        <v>1</v>
      </c>
      <c r="C2">
        <v>12345</v>
      </c>
      <c r="D2">
        <v>357</v>
      </c>
      <c r="E2">
        <v>275</v>
      </c>
      <c r="F2">
        <v>1682</v>
      </c>
      <c r="G2">
        <v>1682</v>
      </c>
      <c r="H2">
        <v>100</v>
      </c>
      <c r="I2">
        <v>3682.470742</v>
      </c>
      <c r="J2">
        <v>35</v>
      </c>
      <c r="K2">
        <v>1</v>
      </c>
      <c r="L2">
        <v>33</v>
      </c>
      <c r="M2">
        <v>3468.2985170000002</v>
      </c>
      <c r="O2">
        <f>I2/J2</f>
        <v>105.21344977142857</v>
      </c>
    </row>
    <row r="3" spans="1:15" x14ac:dyDescent="0.3">
      <c r="A3" t="s">
        <v>12</v>
      </c>
      <c r="B3">
        <v>2</v>
      </c>
      <c r="C3">
        <v>12345</v>
      </c>
      <c r="D3">
        <v>523</v>
      </c>
      <c r="E3">
        <v>515</v>
      </c>
      <c r="F3">
        <v>1634</v>
      </c>
      <c r="G3">
        <v>1634</v>
      </c>
      <c r="H3">
        <v>100</v>
      </c>
      <c r="I3">
        <v>3602.444661</v>
      </c>
      <c r="J3">
        <v>34</v>
      </c>
      <c r="K3">
        <v>1</v>
      </c>
      <c r="L3">
        <v>1</v>
      </c>
      <c r="M3">
        <v>131.79989499999999</v>
      </c>
      <c r="O3">
        <f t="shared" ref="O3:O49" si="0">I3/J3</f>
        <v>105.95425473529411</v>
      </c>
    </row>
    <row r="4" spans="1:15" x14ac:dyDescent="0.3">
      <c r="A4" t="s">
        <v>12</v>
      </c>
      <c r="B4">
        <v>1</v>
      </c>
      <c r="C4">
        <v>13579</v>
      </c>
      <c r="D4">
        <v>441</v>
      </c>
      <c r="E4">
        <v>279</v>
      </c>
      <c r="F4">
        <v>1634</v>
      </c>
      <c r="G4">
        <v>1634</v>
      </c>
      <c r="H4">
        <v>100</v>
      </c>
      <c r="I4">
        <v>3670.1755990000001</v>
      </c>
      <c r="J4">
        <v>34</v>
      </c>
      <c r="K4">
        <v>0</v>
      </c>
      <c r="L4">
        <v>33</v>
      </c>
      <c r="M4">
        <v>3560.0053720000001</v>
      </c>
      <c r="O4">
        <f t="shared" si="0"/>
        <v>107.94634114705883</v>
      </c>
    </row>
    <row r="5" spans="1:15" x14ac:dyDescent="0.3">
      <c r="A5" t="s">
        <v>12</v>
      </c>
      <c r="B5">
        <v>2</v>
      </c>
      <c r="C5">
        <v>13579</v>
      </c>
      <c r="D5">
        <v>519</v>
      </c>
      <c r="E5">
        <v>517</v>
      </c>
      <c r="F5">
        <v>1634</v>
      </c>
      <c r="G5">
        <v>1634</v>
      </c>
      <c r="H5">
        <v>100</v>
      </c>
      <c r="I5">
        <v>3632.2768339999998</v>
      </c>
      <c r="J5">
        <v>34</v>
      </c>
      <c r="K5">
        <v>1</v>
      </c>
      <c r="L5">
        <v>1</v>
      </c>
      <c r="M5">
        <v>131.450481</v>
      </c>
      <c r="O5">
        <f t="shared" si="0"/>
        <v>106.83167158823528</v>
      </c>
    </row>
    <row r="6" spans="1:15" x14ac:dyDescent="0.3">
      <c r="A6" t="s">
        <v>12</v>
      </c>
      <c r="B6">
        <v>1</v>
      </c>
      <c r="C6">
        <v>32165</v>
      </c>
      <c r="D6">
        <v>442</v>
      </c>
      <c r="E6">
        <v>275</v>
      </c>
      <c r="F6">
        <v>1682</v>
      </c>
      <c r="G6">
        <v>1682</v>
      </c>
      <c r="H6">
        <v>100</v>
      </c>
      <c r="I6">
        <v>3660.3460669999999</v>
      </c>
      <c r="J6">
        <v>35</v>
      </c>
      <c r="K6">
        <v>0</v>
      </c>
      <c r="L6">
        <v>35</v>
      </c>
      <c r="M6">
        <v>3660.3460669999999</v>
      </c>
      <c r="O6">
        <f t="shared" si="0"/>
        <v>104.5813162</v>
      </c>
    </row>
    <row r="7" spans="1:15" x14ac:dyDescent="0.3">
      <c r="A7" t="s">
        <v>12</v>
      </c>
      <c r="B7">
        <v>2</v>
      </c>
      <c r="C7">
        <v>32165</v>
      </c>
      <c r="D7">
        <v>521</v>
      </c>
      <c r="E7">
        <v>516</v>
      </c>
      <c r="F7">
        <v>1682</v>
      </c>
      <c r="G7">
        <v>1682</v>
      </c>
      <c r="H7">
        <v>100</v>
      </c>
      <c r="I7">
        <v>3684.4855080000002</v>
      </c>
      <c r="J7">
        <v>35</v>
      </c>
      <c r="K7">
        <v>1</v>
      </c>
      <c r="L7">
        <v>1</v>
      </c>
      <c r="M7">
        <v>126.931281</v>
      </c>
      <c r="O7">
        <f t="shared" si="0"/>
        <v>105.27101451428572</v>
      </c>
    </row>
    <row r="8" spans="1:15" x14ac:dyDescent="0.3">
      <c r="A8" t="s">
        <v>12</v>
      </c>
      <c r="B8">
        <v>1</v>
      </c>
      <c r="C8">
        <v>98751</v>
      </c>
      <c r="D8">
        <v>443</v>
      </c>
      <c r="E8">
        <v>279</v>
      </c>
      <c r="F8">
        <v>1634</v>
      </c>
      <c r="G8">
        <v>1634</v>
      </c>
      <c r="H8">
        <v>100</v>
      </c>
      <c r="I8">
        <v>3631.3852489999999</v>
      </c>
      <c r="J8">
        <v>34</v>
      </c>
      <c r="K8">
        <v>0</v>
      </c>
      <c r="L8">
        <v>32</v>
      </c>
      <c r="M8">
        <v>3406.2066559999998</v>
      </c>
      <c r="O8">
        <f t="shared" si="0"/>
        <v>106.8054485</v>
      </c>
    </row>
    <row r="9" spans="1:15" x14ac:dyDescent="0.3">
      <c r="A9" t="s">
        <v>12</v>
      </c>
      <c r="B9">
        <v>2</v>
      </c>
      <c r="C9">
        <v>98751</v>
      </c>
      <c r="D9">
        <v>522</v>
      </c>
      <c r="E9">
        <v>518</v>
      </c>
      <c r="F9">
        <v>1682</v>
      </c>
      <c r="G9">
        <v>1682</v>
      </c>
      <c r="H9">
        <v>100</v>
      </c>
      <c r="I9">
        <v>3675.322259</v>
      </c>
      <c r="J9">
        <v>35</v>
      </c>
      <c r="K9">
        <v>1</v>
      </c>
      <c r="L9">
        <v>1</v>
      </c>
      <c r="M9">
        <v>132.98890800000001</v>
      </c>
      <c r="O9">
        <f t="shared" si="0"/>
        <v>105.00920739999999</v>
      </c>
    </row>
    <row r="10" spans="1:15" x14ac:dyDescent="0.3">
      <c r="A10" t="s">
        <v>13</v>
      </c>
      <c r="B10">
        <v>2</v>
      </c>
      <c r="C10">
        <v>12345</v>
      </c>
      <c r="D10">
        <v>311</v>
      </c>
      <c r="E10">
        <v>309</v>
      </c>
      <c r="F10">
        <v>1394</v>
      </c>
      <c r="G10">
        <v>1394</v>
      </c>
      <c r="H10">
        <v>100</v>
      </c>
      <c r="I10">
        <v>3630.3040689999998</v>
      </c>
      <c r="J10">
        <v>29</v>
      </c>
      <c r="K10">
        <v>1</v>
      </c>
      <c r="L10">
        <v>1</v>
      </c>
      <c r="M10">
        <v>150.993145</v>
      </c>
      <c r="O10">
        <f t="shared" si="0"/>
        <v>125.18289893103447</v>
      </c>
    </row>
    <row r="11" spans="1:15" x14ac:dyDescent="0.3">
      <c r="A11" t="s">
        <v>13</v>
      </c>
      <c r="B11">
        <v>4</v>
      </c>
      <c r="C11">
        <v>12345</v>
      </c>
      <c r="D11">
        <v>1656</v>
      </c>
      <c r="E11">
        <v>1651</v>
      </c>
      <c r="F11">
        <v>1394</v>
      </c>
      <c r="G11">
        <v>1394</v>
      </c>
      <c r="H11">
        <v>100</v>
      </c>
      <c r="I11">
        <v>3645.8000459999998</v>
      </c>
      <c r="J11">
        <v>29</v>
      </c>
      <c r="K11">
        <v>1</v>
      </c>
      <c r="L11">
        <v>1</v>
      </c>
      <c r="M11">
        <v>138.87810999999999</v>
      </c>
      <c r="O11">
        <f t="shared" si="0"/>
        <v>125.71724296551723</v>
      </c>
    </row>
    <row r="12" spans="1:15" x14ac:dyDescent="0.3">
      <c r="A12" t="s">
        <v>13</v>
      </c>
      <c r="B12">
        <v>2</v>
      </c>
      <c r="C12">
        <v>13579</v>
      </c>
      <c r="D12">
        <v>311</v>
      </c>
      <c r="E12">
        <v>310</v>
      </c>
      <c r="F12">
        <v>1442</v>
      </c>
      <c r="G12">
        <v>1442</v>
      </c>
      <c r="H12">
        <v>100</v>
      </c>
      <c r="I12">
        <v>3703.181008</v>
      </c>
      <c r="J12">
        <v>30</v>
      </c>
      <c r="K12">
        <v>1</v>
      </c>
      <c r="L12">
        <v>1</v>
      </c>
      <c r="M12">
        <v>132.660301</v>
      </c>
      <c r="O12">
        <f t="shared" si="0"/>
        <v>123.43936693333333</v>
      </c>
    </row>
    <row r="13" spans="1:15" x14ac:dyDescent="0.3">
      <c r="A13" t="s">
        <v>13</v>
      </c>
      <c r="B13">
        <v>4</v>
      </c>
      <c r="C13">
        <v>13579</v>
      </c>
      <c r="D13">
        <v>1653</v>
      </c>
      <c r="E13">
        <v>1646</v>
      </c>
      <c r="F13">
        <v>1394</v>
      </c>
      <c r="G13">
        <v>1394</v>
      </c>
      <c r="H13">
        <v>100</v>
      </c>
      <c r="I13">
        <v>3675.452303</v>
      </c>
      <c r="J13">
        <v>29</v>
      </c>
      <c r="K13">
        <v>1</v>
      </c>
      <c r="L13">
        <v>1</v>
      </c>
      <c r="M13">
        <v>148.81529599999999</v>
      </c>
      <c r="O13">
        <f t="shared" si="0"/>
        <v>126.73973458620689</v>
      </c>
    </row>
    <row r="14" spans="1:15" x14ac:dyDescent="0.3">
      <c r="A14" t="s">
        <v>13</v>
      </c>
      <c r="B14">
        <v>2</v>
      </c>
      <c r="C14">
        <v>32165</v>
      </c>
      <c r="D14">
        <v>312</v>
      </c>
      <c r="E14">
        <v>308</v>
      </c>
      <c r="F14">
        <v>1394</v>
      </c>
      <c r="G14">
        <v>1394</v>
      </c>
      <c r="H14">
        <v>100</v>
      </c>
      <c r="I14">
        <v>3623.0635560000001</v>
      </c>
      <c r="J14">
        <v>29</v>
      </c>
      <c r="K14">
        <v>1</v>
      </c>
      <c r="L14">
        <v>1</v>
      </c>
      <c r="M14">
        <v>145.96586600000001</v>
      </c>
      <c r="O14">
        <f t="shared" si="0"/>
        <v>124.93322606896552</v>
      </c>
    </row>
    <row r="15" spans="1:15" x14ac:dyDescent="0.3">
      <c r="A15" t="s">
        <v>13</v>
      </c>
      <c r="B15">
        <v>4</v>
      </c>
      <c r="C15">
        <v>32165</v>
      </c>
      <c r="D15">
        <v>1647</v>
      </c>
      <c r="E15">
        <v>1641</v>
      </c>
      <c r="F15">
        <v>1442</v>
      </c>
      <c r="G15">
        <v>1442</v>
      </c>
      <c r="H15">
        <v>100</v>
      </c>
      <c r="I15">
        <v>3723.9286550000002</v>
      </c>
      <c r="J15">
        <v>30</v>
      </c>
      <c r="K15">
        <v>1</v>
      </c>
      <c r="L15">
        <v>1</v>
      </c>
      <c r="M15">
        <v>141.823059</v>
      </c>
      <c r="O15">
        <f t="shared" si="0"/>
        <v>124.13095516666667</v>
      </c>
    </row>
    <row r="16" spans="1:15" x14ac:dyDescent="0.3">
      <c r="A16" t="s">
        <v>13</v>
      </c>
      <c r="B16">
        <v>2</v>
      </c>
      <c r="C16">
        <v>98751</v>
      </c>
      <c r="D16">
        <v>311</v>
      </c>
      <c r="E16">
        <v>309</v>
      </c>
      <c r="F16">
        <v>1394</v>
      </c>
      <c r="G16">
        <v>1394</v>
      </c>
      <c r="H16">
        <v>100</v>
      </c>
      <c r="I16">
        <v>3627.7159980000001</v>
      </c>
      <c r="J16">
        <v>29</v>
      </c>
      <c r="K16">
        <v>1</v>
      </c>
      <c r="L16">
        <v>1</v>
      </c>
      <c r="M16">
        <v>145.44130999999999</v>
      </c>
      <c r="O16">
        <f t="shared" si="0"/>
        <v>125.09365510344828</v>
      </c>
    </row>
    <row r="17" spans="1:15" x14ac:dyDescent="0.3">
      <c r="A17" t="s">
        <v>13</v>
      </c>
      <c r="B17">
        <v>4</v>
      </c>
      <c r="C17">
        <v>98751</v>
      </c>
      <c r="D17">
        <v>1649</v>
      </c>
      <c r="E17">
        <v>1642</v>
      </c>
      <c r="F17">
        <v>1394</v>
      </c>
      <c r="G17">
        <v>1394</v>
      </c>
      <c r="H17">
        <v>100</v>
      </c>
      <c r="I17">
        <v>3601.8539609999998</v>
      </c>
      <c r="J17">
        <v>29</v>
      </c>
      <c r="K17">
        <v>1</v>
      </c>
      <c r="L17">
        <v>1</v>
      </c>
      <c r="M17">
        <v>143.99694400000001</v>
      </c>
      <c r="O17">
        <f t="shared" si="0"/>
        <v>124.20186072413793</v>
      </c>
    </row>
    <row r="18" spans="1:15" x14ac:dyDescent="0.3">
      <c r="A18" t="s">
        <v>14</v>
      </c>
      <c r="B18">
        <v>1</v>
      </c>
      <c r="C18">
        <v>12345</v>
      </c>
      <c r="D18">
        <v>27</v>
      </c>
      <c r="E18">
        <v>25</v>
      </c>
      <c r="F18">
        <v>4130</v>
      </c>
      <c r="G18">
        <v>4046</v>
      </c>
      <c r="H18">
        <v>97.966101694915196</v>
      </c>
      <c r="I18">
        <v>3641.2478999999998</v>
      </c>
      <c r="J18">
        <v>86</v>
      </c>
      <c r="K18">
        <v>1</v>
      </c>
      <c r="L18">
        <v>52</v>
      </c>
      <c r="M18">
        <v>372.34912100000003</v>
      </c>
      <c r="O18">
        <f t="shared" si="0"/>
        <v>42.340091860465115</v>
      </c>
    </row>
    <row r="19" spans="1:15" x14ac:dyDescent="0.3">
      <c r="A19" t="s">
        <v>14</v>
      </c>
      <c r="B19">
        <v>5</v>
      </c>
      <c r="C19">
        <v>12345</v>
      </c>
      <c r="D19">
        <v>48</v>
      </c>
      <c r="E19">
        <v>45</v>
      </c>
      <c r="F19">
        <v>2978</v>
      </c>
      <c r="G19">
        <v>2810</v>
      </c>
      <c r="H19">
        <v>94.358629952988494</v>
      </c>
      <c r="I19">
        <v>3708.315983</v>
      </c>
      <c r="J19">
        <v>62</v>
      </c>
      <c r="K19">
        <v>1</v>
      </c>
      <c r="L19">
        <v>58</v>
      </c>
      <c r="M19">
        <v>2251.142695</v>
      </c>
      <c r="O19">
        <f t="shared" si="0"/>
        <v>59.811548112903225</v>
      </c>
    </row>
    <row r="20" spans="1:15" x14ac:dyDescent="0.3">
      <c r="A20" t="s">
        <v>14</v>
      </c>
      <c r="B20">
        <v>10</v>
      </c>
      <c r="C20">
        <v>12345</v>
      </c>
      <c r="D20">
        <v>60</v>
      </c>
      <c r="E20">
        <v>56</v>
      </c>
      <c r="F20">
        <v>3266</v>
      </c>
      <c r="G20">
        <v>3067</v>
      </c>
      <c r="H20">
        <v>93.906919779546797</v>
      </c>
      <c r="I20">
        <v>3822.2680999999998</v>
      </c>
      <c r="J20">
        <v>68</v>
      </c>
      <c r="K20">
        <v>1</v>
      </c>
      <c r="L20">
        <v>64</v>
      </c>
      <c r="M20">
        <v>2297.2653570000002</v>
      </c>
      <c r="O20">
        <f t="shared" si="0"/>
        <v>56.209824999999995</v>
      </c>
    </row>
    <row r="21" spans="1:15" x14ac:dyDescent="0.3">
      <c r="A21" t="s">
        <v>14</v>
      </c>
      <c r="B21">
        <v>1</v>
      </c>
      <c r="C21">
        <v>13579</v>
      </c>
      <c r="D21">
        <v>27</v>
      </c>
      <c r="E21">
        <v>25</v>
      </c>
      <c r="F21">
        <v>4130</v>
      </c>
      <c r="G21">
        <v>4053</v>
      </c>
      <c r="H21">
        <v>98.135593220338905</v>
      </c>
      <c r="I21">
        <v>3628.977034</v>
      </c>
      <c r="J21">
        <v>86</v>
      </c>
      <c r="K21">
        <v>1</v>
      </c>
      <c r="L21">
        <v>46</v>
      </c>
      <c r="M21">
        <v>245.03372200000001</v>
      </c>
      <c r="O21">
        <f t="shared" si="0"/>
        <v>42.197407372093025</v>
      </c>
    </row>
    <row r="22" spans="1:15" x14ac:dyDescent="0.3">
      <c r="A22" t="s">
        <v>14</v>
      </c>
      <c r="B22">
        <v>5</v>
      </c>
      <c r="C22">
        <v>13579</v>
      </c>
      <c r="D22">
        <v>47</v>
      </c>
      <c r="E22">
        <v>45</v>
      </c>
      <c r="F22">
        <v>2978</v>
      </c>
      <c r="G22">
        <v>2820</v>
      </c>
      <c r="H22">
        <v>94.694425789120203</v>
      </c>
      <c r="I22">
        <v>3711.3878180000002</v>
      </c>
      <c r="J22">
        <v>62</v>
      </c>
      <c r="K22">
        <v>1</v>
      </c>
      <c r="L22">
        <v>59</v>
      </c>
      <c r="M22">
        <v>2662.7904239999998</v>
      </c>
      <c r="O22">
        <f t="shared" si="0"/>
        <v>59.861093838709678</v>
      </c>
    </row>
    <row r="23" spans="1:15" x14ac:dyDescent="0.3">
      <c r="A23" t="s">
        <v>14</v>
      </c>
      <c r="B23">
        <v>10</v>
      </c>
      <c r="C23">
        <v>13579</v>
      </c>
      <c r="D23">
        <v>60</v>
      </c>
      <c r="E23">
        <v>56</v>
      </c>
      <c r="F23">
        <v>3266</v>
      </c>
      <c r="G23">
        <v>3071</v>
      </c>
      <c r="H23">
        <v>94.029393753827307</v>
      </c>
      <c r="I23">
        <v>3852.0178519999999</v>
      </c>
      <c r="J23">
        <v>68</v>
      </c>
      <c r="K23">
        <v>1</v>
      </c>
      <c r="L23">
        <v>67</v>
      </c>
      <c r="M23">
        <v>3493.2882639999998</v>
      </c>
      <c r="O23">
        <f t="shared" si="0"/>
        <v>56.647321352941177</v>
      </c>
    </row>
    <row r="24" spans="1:15" x14ac:dyDescent="0.3">
      <c r="A24" t="s">
        <v>14</v>
      </c>
      <c r="B24">
        <v>1</v>
      </c>
      <c r="C24">
        <v>32165</v>
      </c>
      <c r="D24">
        <v>26</v>
      </c>
      <c r="E24">
        <v>25</v>
      </c>
      <c r="F24">
        <v>4178</v>
      </c>
      <c r="G24">
        <v>4080</v>
      </c>
      <c r="H24">
        <v>97.654380086165602</v>
      </c>
      <c r="I24">
        <v>3857.4354229999999</v>
      </c>
      <c r="J24">
        <v>87</v>
      </c>
      <c r="K24">
        <v>1</v>
      </c>
      <c r="L24">
        <v>56</v>
      </c>
      <c r="M24">
        <v>491.83602400000001</v>
      </c>
      <c r="O24">
        <f t="shared" si="0"/>
        <v>44.338338195402301</v>
      </c>
    </row>
    <row r="25" spans="1:15" x14ac:dyDescent="0.3">
      <c r="A25" t="s">
        <v>14</v>
      </c>
      <c r="B25">
        <v>5</v>
      </c>
      <c r="C25">
        <v>32165</v>
      </c>
      <c r="D25">
        <v>48</v>
      </c>
      <c r="E25">
        <v>45</v>
      </c>
      <c r="F25">
        <v>2978</v>
      </c>
      <c r="G25">
        <v>2792</v>
      </c>
      <c r="H25">
        <v>93.754197447951597</v>
      </c>
      <c r="I25">
        <v>3807.2318700000001</v>
      </c>
      <c r="J25">
        <v>62</v>
      </c>
      <c r="K25">
        <v>1</v>
      </c>
      <c r="L25">
        <v>59</v>
      </c>
      <c r="M25">
        <v>2713.9015789999999</v>
      </c>
      <c r="O25">
        <f t="shared" si="0"/>
        <v>61.406965645161293</v>
      </c>
    </row>
    <row r="26" spans="1:15" x14ac:dyDescent="0.3">
      <c r="A26" t="s">
        <v>14</v>
      </c>
      <c r="B26">
        <v>10</v>
      </c>
      <c r="C26">
        <v>32165</v>
      </c>
      <c r="D26">
        <v>58</v>
      </c>
      <c r="E26">
        <v>56</v>
      </c>
      <c r="F26">
        <v>3266</v>
      </c>
      <c r="G26">
        <v>3096</v>
      </c>
      <c r="H26">
        <v>94.794856093080199</v>
      </c>
      <c r="I26">
        <v>3637.117663</v>
      </c>
      <c r="J26">
        <v>68</v>
      </c>
      <c r="K26">
        <v>1</v>
      </c>
      <c r="L26">
        <v>43</v>
      </c>
      <c r="M26">
        <v>51.000185999999999</v>
      </c>
      <c r="O26">
        <f t="shared" si="0"/>
        <v>53.487024455882356</v>
      </c>
    </row>
    <row r="27" spans="1:15" x14ac:dyDescent="0.3">
      <c r="A27" t="s">
        <v>14</v>
      </c>
      <c r="B27">
        <v>1</v>
      </c>
      <c r="C27">
        <v>98751</v>
      </c>
      <c r="D27">
        <v>27</v>
      </c>
      <c r="E27">
        <v>25</v>
      </c>
      <c r="F27">
        <v>4178</v>
      </c>
      <c r="G27">
        <v>4090</v>
      </c>
      <c r="H27">
        <v>97.893729056965</v>
      </c>
      <c r="I27">
        <v>3873.8302079999999</v>
      </c>
      <c r="J27">
        <v>87</v>
      </c>
      <c r="K27">
        <v>1</v>
      </c>
      <c r="L27">
        <v>59</v>
      </c>
      <c r="M27">
        <v>623.92908</v>
      </c>
      <c r="O27">
        <f t="shared" si="0"/>
        <v>44.526783999999999</v>
      </c>
    </row>
    <row r="28" spans="1:15" x14ac:dyDescent="0.3">
      <c r="A28" t="s">
        <v>14</v>
      </c>
      <c r="B28">
        <v>5</v>
      </c>
      <c r="C28">
        <v>98751</v>
      </c>
      <c r="D28">
        <v>47</v>
      </c>
      <c r="E28">
        <v>46</v>
      </c>
      <c r="F28">
        <v>2978</v>
      </c>
      <c r="G28">
        <v>2801</v>
      </c>
      <c r="H28">
        <v>94.056413700470102</v>
      </c>
      <c r="I28">
        <v>3770.7309150000001</v>
      </c>
      <c r="J28">
        <v>62</v>
      </c>
      <c r="K28">
        <v>1</v>
      </c>
      <c r="L28">
        <v>53</v>
      </c>
      <c r="M28">
        <v>937.40350699999999</v>
      </c>
      <c r="O28">
        <f t="shared" si="0"/>
        <v>60.818240564516131</v>
      </c>
    </row>
    <row r="29" spans="1:15" x14ac:dyDescent="0.3">
      <c r="A29" t="s">
        <v>14</v>
      </c>
      <c r="B29">
        <v>10</v>
      </c>
      <c r="C29">
        <v>98751</v>
      </c>
      <c r="D29">
        <v>60</v>
      </c>
      <c r="E29">
        <v>57</v>
      </c>
      <c r="F29">
        <v>3266</v>
      </c>
      <c r="G29">
        <v>3087</v>
      </c>
      <c r="H29">
        <v>94.519289650949105</v>
      </c>
      <c r="I29">
        <v>3631.541835</v>
      </c>
      <c r="J29">
        <v>68</v>
      </c>
      <c r="K29">
        <v>1</v>
      </c>
      <c r="L29">
        <v>56</v>
      </c>
      <c r="M29">
        <v>401.02255500000001</v>
      </c>
      <c r="O29">
        <f t="shared" si="0"/>
        <v>53.405026985294114</v>
      </c>
    </row>
    <row r="30" spans="1:15" x14ac:dyDescent="0.3">
      <c r="A30" t="s">
        <v>15</v>
      </c>
      <c r="B30">
        <v>3</v>
      </c>
      <c r="C30">
        <v>12345</v>
      </c>
      <c r="D30">
        <v>43</v>
      </c>
      <c r="E30">
        <v>39</v>
      </c>
      <c r="F30">
        <v>3650</v>
      </c>
      <c r="G30">
        <v>3486</v>
      </c>
      <c r="H30">
        <v>95.506849315068493</v>
      </c>
      <c r="I30">
        <v>3662.5492559999998</v>
      </c>
      <c r="J30">
        <v>76</v>
      </c>
      <c r="K30">
        <v>1</v>
      </c>
      <c r="L30">
        <v>74</v>
      </c>
      <c r="M30">
        <v>2894.1379470000002</v>
      </c>
      <c r="O30">
        <f t="shared" si="0"/>
        <v>48.191437578947365</v>
      </c>
    </row>
    <row r="31" spans="1:15" x14ac:dyDescent="0.3">
      <c r="A31" t="s">
        <v>15</v>
      </c>
      <c r="B31">
        <v>3</v>
      </c>
      <c r="C31">
        <v>13579</v>
      </c>
      <c r="D31">
        <v>43</v>
      </c>
      <c r="E31">
        <v>39</v>
      </c>
      <c r="F31">
        <v>3698</v>
      </c>
      <c r="G31">
        <v>3519</v>
      </c>
      <c r="H31">
        <v>95.159545700378501</v>
      </c>
      <c r="I31">
        <v>3866.1123090000001</v>
      </c>
      <c r="J31">
        <v>77</v>
      </c>
      <c r="K31">
        <v>1</v>
      </c>
      <c r="L31">
        <v>67</v>
      </c>
      <c r="M31">
        <v>918.83560199999999</v>
      </c>
      <c r="O31">
        <f t="shared" si="0"/>
        <v>50.209250766233765</v>
      </c>
    </row>
    <row r="32" spans="1:15" x14ac:dyDescent="0.3">
      <c r="A32" t="s">
        <v>15</v>
      </c>
      <c r="B32">
        <v>3</v>
      </c>
      <c r="C32">
        <v>32165</v>
      </c>
      <c r="D32">
        <v>43</v>
      </c>
      <c r="E32">
        <v>40</v>
      </c>
      <c r="F32">
        <v>3698</v>
      </c>
      <c r="G32">
        <v>3512</v>
      </c>
      <c r="H32">
        <v>94.970254191454799</v>
      </c>
      <c r="I32">
        <v>3921.7431219999999</v>
      </c>
      <c r="J32">
        <v>77</v>
      </c>
      <c r="K32">
        <v>1</v>
      </c>
      <c r="L32">
        <v>48</v>
      </c>
      <c r="M32">
        <v>80.736338000000003</v>
      </c>
      <c r="O32">
        <f t="shared" si="0"/>
        <v>50.931728857142858</v>
      </c>
    </row>
    <row r="33" spans="1:15" x14ac:dyDescent="0.3">
      <c r="A33" t="s">
        <v>15</v>
      </c>
      <c r="B33">
        <v>3</v>
      </c>
      <c r="C33">
        <v>98751</v>
      </c>
      <c r="D33">
        <v>44</v>
      </c>
      <c r="E33">
        <v>40</v>
      </c>
      <c r="F33">
        <v>3650</v>
      </c>
      <c r="G33">
        <v>3484</v>
      </c>
      <c r="H33">
        <v>95.452054794520507</v>
      </c>
      <c r="I33">
        <v>3675.2166609999999</v>
      </c>
      <c r="J33">
        <v>76</v>
      </c>
      <c r="K33">
        <v>1</v>
      </c>
      <c r="L33">
        <v>57</v>
      </c>
      <c r="M33">
        <v>175.68576200000001</v>
      </c>
      <c r="O33">
        <f t="shared" si="0"/>
        <v>48.358113960526317</v>
      </c>
    </row>
    <row r="34" spans="1:15" x14ac:dyDescent="0.3">
      <c r="A34" t="s">
        <v>16</v>
      </c>
      <c r="B34">
        <v>1</v>
      </c>
      <c r="C34">
        <v>12345</v>
      </c>
      <c r="D34">
        <v>203</v>
      </c>
      <c r="E34">
        <v>203</v>
      </c>
      <c r="F34">
        <v>1874</v>
      </c>
      <c r="G34">
        <v>1649</v>
      </c>
      <c r="H34">
        <v>87.993596584845207</v>
      </c>
      <c r="I34">
        <v>3960.7892390000002</v>
      </c>
      <c r="J34">
        <v>39</v>
      </c>
      <c r="K34">
        <v>1</v>
      </c>
      <c r="L34">
        <v>1</v>
      </c>
      <c r="M34">
        <v>8.8306690000000003</v>
      </c>
      <c r="O34">
        <f t="shared" si="0"/>
        <v>101.55869843589744</v>
      </c>
    </row>
    <row r="35" spans="1:15" x14ac:dyDescent="0.3">
      <c r="A35" t="s">
        <v>16</v>
      </c>
      <c r="B35">
        <v>10</v>
      </c>
      <c r="C35">
        <v>12345</v>
      </c>
      <c r="D35">
        <v>453</v>
      </c>
      <c r="E35">
        <v>453</v>
      </c>
      <c r="F35">
        <v>1538</v>
      </c>
      <c r="G35">
        <v>1323</v>
      </c>
      <c r="H35">
        <v>86.020806241872506</v>
      </c>
      <c r="I35">
        <v>3797.0654450000002</v>
      </c>
      <c r="J35">
        <v>32</v>
      </c>
      <c r="K35">
        <v>1</v>
      </c>
      <c r="L35">
        <v>1</v>
      </c>
      <c r="M35">
        <v>8.9838319999999996</v>
      </c>
      <c r="O35">
        <f t="shared" si="0"/>
        <v>118.65829515625001</v>
      </c>
    </row>
    <row r="36" spans="1:15" x14ac:dyDescent="0.3">
      <c r="A36" t="s">
        <v>16</v>
      </c>
      <c r="B36">
        <v>1</v>
      </c>
      <c r="C36">
        <v>13579</v>
      </c>
      <c r="D36">
        <v>205</v>
      </c>
      <c r="E36">
        <v>205</v>
      </c>
      <c r="F36">
        <v>1826</v>
      </c>
      <c r="G36">
        <v>1617</v>
      </c>
      <c r="H36">
        <v>88.554216867469805</v>
      </c>
      <c r="I36">
        <v>3648.8266450000001</v>
      </c>
      <c r="J36">
        <v>38</v>
      </c>
      <c r="K36">
        <v>1</v>
      </c>
      <c r="L36">
        <v>1</v>
      </c>
      <c r="M36">
        <v>9.5074690000000004</v>
      </c>
      <c r="O36">
        <f t="shared" si="0"/>
        <v>96.021753815789481</v>
      </c>
    </row>
    <row r="37" spans="1:15" x14ac:dyDescent="0.3">
      <c r="A37" t="s">
        <v>16</v>
      </c>
      <c r="B37">
        <v>10</v>
      </c>
      <c r="C37">
        <v>13579</v>
      </c>
      <c r="D37">
        <v>454</v>
      </c>
      <c r="E37">
        <v>454</v>
      </c>
      <c r="F37">
        <v>1490</v>
      </c>
      <c r="G37">
        <v>1262</v>
      </c>
      <c r="H37">
        <v>84.697986577181197</v>
      </c>
      <c r="I37">
        <v>3723.4760839999999</v>
      </c>
      <c r="J37">
        <v>31</v>
      </c>
      <c r="K37">
        <v>1</v>
      </c>
      <c r="L37">
        <v>1</v>
      </c>
      <c r="M37">
        <v>9.1774550000000001</v>
      </c>
      <c r="O37">
        <f t="shared" si="0"/>
        <v>120.11213174193549</v>
      </c>
    </row>
    <row r="38" spans="1:15" x14ac:dyDescent="0.3">
      <c r="A38" t="s">
        <v>16</v>
      </c>
      <c r="B38">
        <v>1</v>
      </c>
      <c r="C38">
        <v>32165</v>
      </c>
      <c r="D38">
        <v>205</v>
      </c>
      <c r="E38">
        <v>205</v>
      </c>
      <c r="F38">
        <v>1874</v>
      </c>
      <c r="G38">
        <v>1653</v>
      </c>
      <c r="H38">
        <v>88.207043756670203</v>
      </c>
      <c r="I38">
        <v>3961.5756459999998</v>
      </c>
      <c r="J38">
        <v>39</v>
      </c>
      <c r="K38">
        <v>1</v>
      </c>
      <c r="L38">
        <v>1</v>
      </c>
      <c r="M38">
        <v>9.0568410000000004</v>
      </c>
      <c r="O38">
        <f t="shared" si="0"/>
        <v>101.57886271794871</v>
      </c>
    </row>
    <row r="39" spans="1:15" x14ac:dyDescent="0.3">
      <c r="A39" t="s">
        <v>16</v>
      </c>
      <c r="B39">
        <v>10</v>
      </c>
      <c r="C39">
        <v>32165</v>
      </c>
      <c r="D39">
        <v>451</v>
      </c>
      <c r="E39">
        <v>450</v>
      </c>
      <c r="F39">
        <v>1490</v>
      </c>
      <c r="G39">
        <v>1260</v>
      </c>
      <c r="H39">
        <v>84.563758389261693</v>
      </c>
      <c r="I39">
        <v>3666.1773469999998</v>
      </c>
      <c r="J39">
        <v>31</v>
      </c>
      <c r="K39">
        <v>1</v>
      </c>
      <c r="L39">
        <v>1</v>
      </c>
      <c r="M39">
        <v>9.0638970000000008</v>
      </c>
      <c r="O39">
        <f t="shared" si="0"/>
        <v>118.26378538709677</v>
      </c>
    </row>
    <row r="40" spans="1:15" x14ac:dyDescent="0.3">
      <c r="A40" t="s">
        <v>16</v>
      </c>
      <c r="B40">
        <v>1</v>
      </c>
      <c r="C40">
        <v>98751</v>
      </c>
      <c r="D40">
        <v>205</v>
      </c>
      <c r="E40">
        <v>205</v>
      </c>
      <c r="F40">
        <v>1826</v>
      </c>
      <c r="G40">
        <v>1624</v>
      </c>
      <c r="H40">
        <v>88.937568455640701</v>
      </c>
      <c r="I40">
        <v>3613.6593229999999</v>
      </c>
      <c r="J40">
        <v>38</v>
      </c>
      <c r="K40">
        <v>1</v>
      </c>
      <c r="L40">
        <v>1</v>
      </c>
      <c r="M40">
        <v>8.7047410000000003</v>
      </c>
      <c r="O40">
        <f t="shared" si="0"/>
        <v>95.096297973684202</v>
      </c>
    </row>
    <row r="41" spans="1:15" x14ac:dyDescent="0.3">
      <c r="A41" t="s">
        <v>16</v>
      </c>
      <c r="B41">
        <v>10</v>
      </c>
      <c r="C41">
        <v>98751</v>
      </c>
      <c r="D41">
        <v>449</v>
      </c>
      <c r="E41">
        <v>448</v>
      </c>
      <c r="F41">
        <v>1490</v>
      </c>
      <c r="G41">
        <v>1277</v>
      </c>
      <c r="H41">
        <v>85.704697986577102</v>
      </c>
      <c r="I41">
        <v>3775.245703</v>
      </c>
      <c r="J41">
        <v>31</v>
      </c>
      <c r="K41">
        <v>1</v>
      </c>
      <c r="L41">
        <v>1</v>
      </c>
      <c r="M41">
        <v>9.3255379999999999</v>
      </c>
      <c r="O41">
        <f t="shared" si="0"/>
        <v>121.7821194516129</v>
      </c>
    </row>
    <row r="42" spans="1:15" x14ac:dyDescent="0.3">
      <c r="A42" t="s">
        <v>17</v>
      </c>
      <c r="B42">
        <v>2</v>
      </c>
      <c r="C42">
        <v>12345</v>
      </c>
      <c r="D42">
        <v>274</v>
      </c>
      <c r="E42">
        <v>274</v>
      </c>
      <c r="F42">
        <v>1874</v>
      </c>
      <c r="G42">
        <v>1637</v>
      </c>
      <c r="H42">
        <v>87.353255069370306</v>
      </c>
      <c r="I42">
        <v>3695.989345</v>
      </c>
      <c r="J42">
        <v>39</v>
      </c>
      <c r="K42">
        <v>1</v>
      </c>
      <c r="L42">
        <v>1</v>
      </c>
      <c r="M42">
        <v>2.0157099999999999</v>
      </c>
      <c r="O42">
        <f t="shared" si="0"/>
        <v>94.768957564102564</v>
      </c>
    </row>
    <row r="43" spans="1:15" x14ac:dyDescent="0.3">
      <c r="A43" t="s">
        <v>17</v>
      </c>
      <c r="B43">
        <v>2</v>
      </c>
      <c r="C43">
        <v>13579</v>
      </c>
      <c r="D43">
        <v>277</v>
      </c>
      <c r="E43">
        <v>277</v>
      </c>
      <c r="F43">
        <v>1874</v>
      </c>
      <c r="G43">
        <v>1632</v>
      </c>
      <c r="H43">
        <v>87.086446104589101</v>
      </c>
      <c r="I43">
        <v>3707.1081429999999</v>
      </c>
      <c r="J43">
        <v>39</v>
      </c>
      <c r="K43">
        <v>1</v>
      </c>
      <c r="L43">
        <v>1</v>
      </c>
      <c r="M43">
        <v>2.339413</v>
      </c>
      <c r="O43">
        <f t="shared" si="0"/>
        <v>95.054054948717948</v>
      </c>
    </row>
    <row r="44" spans="1:15" x14ac:dyDescent="0.3">
      <c r="A44" t="s">
        <v>17</v>
      </c>
      <c r="B44">
        <v>2</v>
      </c>
      <c r="C44">
        <v>32165</v>
      </c>
      <c r="D44">
        <v>275</v>
      </c>
      <c r="E44">
        <v>275</v>
      </c>
      <c r="F44">
        <v>1874</v>
      </c>
      <c r="G44">
        <v>1624</v>
      </c>
      <c r="H44">
        <v>86.659551760939095</v>
      </c>
      <c r="I44">
        <v>3725.1592049999999</v>
      </c>
      <c r="J44">
        <v>39</v>
      </c>
      <c r="K44">
        <v>1</v>
      </c>
      <c r="L44">
        <v>1</v>
      </c>
      <c r="M44">
        <v>2.0023</v>
      </c>
      <c r="O44">
        <f t="shared" si="0"/>
        <v>95.516902692307696</v>
      </c>
    </row>
    <row r="45" spans="1:15" x14ac:dyDescent="0.3">
      <c r="A45" t="s">
        <v>17</v>
      </c>
      <c r="B45">
        <v>2</v>
      </c>
      <c r="C45">
        <v>98751</v>
      </c>
      <c r="D45">
        <v>277</v>
      </c>
      <c r="E45">
        <v>277</v>
      </c>
      <c r="F45">
        <v>1922</v>
      </c>
      <c r="G45">
        <v>1684</v>
      </c>
      <c r="H45">
        <v>87.617065556711694</v>
      </c>
      <c r="I45">
        <v>3806.9003010000001</v>
      </c>
      <c r="J45">
        <v>40</v>
      </c>
      <c r="K45">
        <v>1</v>
      </c>
      <c r="L45">
        <v>1</v>
      </c>
      <c r="M45">
        <v>1.745468</v>
      </c>
      <c r="O45">
        <f t="shared" si="0"/>
        <v>95.172507525</v>
      </c>
    </row>
    <row r="46" spans="1:15" x14ac:dyDescent="0.3">
      <c r="A46" t="s">
        <v>18</v>
      </c>
      <c r="B46">
        <v>5</v>
      </c>
      <c r="C46">
        <v>12345</v>
      </c>
      <c r="D46">
        <v>372</v>
      </c>
      <c r="E46">
        <v>371</v>
      </c>
      <c r="F46">
        <v>1634</v>
      </c>
      <c r="G46">
        <v>1393</v>
      </c>
      <c r="H46">
        <v>85.250917992655999</v>
      </c>
      <c r="I46">
        <v>3757.0396989999999</v>
      </c>
      <c r="J46">
        <v>34</v>
      </c>
      <c r="K46">
        <v>1</v>
      </c>
      <c r="L46">
        <v>1</v>
      </c>
      <c r="M46">
        <v>4.6589710000000002</v>
      </c>
      <c r="O46">
        <f t="shared" si="0"/>
        <v>110.50116761764706</v>
      </c>
    </row>
    <row r="47" spans="1:15" x14ac:dyDescent="0.3">
      <c r="A47" t="s">
        <v>18</v>
      </c>
      <c r="B47">
        <v>5</v>
      </c>
      <c r="C47">
        <v>13579</v>
      </c>
      <c r="D47">
        <v>369</v>
      </c>
      <c r="E47">
        <v>369</v>
      </c>
      <c r="F47">
        <v>1634</v>
      </c>
      <c r="G47">
        <v>1401</v>
      </c>
      <c r="H47">
        <v>85.740514075887404</v>
      </c>
      <c r="I47">
        <v>3797.4641109999998</v>
      </c>
      <c r="J47">
        <v>34</v>
      </c>
      <c r="K47">
        <v>1</v>
      </c>
      <c r="L47">
        <v>1</v>
      </c>
      <c r="M47">
        <v>4.7000900000000003</v>
      </c>
      <c r="O47">
        <f t="shared" si="0"/>
        <v>111.69012091176469</v>
      </c>
    </row>
    <row r="48" spans="1:15" x14ac:dyDescent="0.3">
      <c r="A48" t="s">
        <v>18</v>
      </c>
      <c r="B48">
        <v>5</v>
      </c>
      <c r="C48">
        <v>32165</v>
      </c>
      <c r="D48">
        <v>371</v>
      </c>
      <c r="E48">
        <v>369</v>
      </c>
      <c r="F48">
        <v>1634</v>
      </c>
      <c r="G48">
        <v>1403</v>
      </c>
      <c r="H48">
        <v>85.862913096695195</v>
      </c>
      <c r="I48">
        <v>3760.3757099999998</v>
      </c>
      <c r="J48">
        <v>34</v>
      </c>
      <c r="K48">
        <v>1</v>
      </c>
      <c r="L48">
        <v>1</v>
      </c>
      <c r="M48">
        <v>4.505128</v>
      </c>
      <c r="O48">
        <f t="shared" si="0"/>
        <v>110.59928558823529</v>
      </c>
    </row>
    <row r="49" spans="1:15" x14ac:dyDescent="0.3">
      <c r="A49" t="s">
        <v>18</v>
      </c>
      <c r="B49">
        <v>5</v>
      </c>
      <c r="C49">
        <v>98751</v>
      </c>
      <c r="D49">
        <v>370</v>
      </c>
      <c r="E49">
        <v>369</v>
      </c>
      <c r="F49">
        <v>1634</v>
      </c>
      <c r="G49">
        <v>1415</v>
      </c>
      <c r="H49">
        <v>86.597307221542195</v>
      </c>
      <c r="I49">
        <v>3647.7443060000001</v>
      </c>
      <c r="J49">
        <v>34</v>
      </c>
      <c r="K49">
        <v>1</v>
      </c>
      <c r="L49">
        <v>1</v>
      </c>
      <c r="M49">
        <v>4.6649050000000001</v>
      </c>
      <c r="O49">
        <f t="shared" si="0"/>
        <v>107.28659723529412</v>
      </c>
    </row>
    <row r="51" spans="1:15" x14ac:dyDescent="0.3">
      <c r="O51">
        <f>AVERAGE(O2:O49)</f>
        <v>91.113612117606564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2EC0-B37B-4FE5-A1D3-06714B9A481A}">
  <dimension ref="A1:M49"/>
  <sheetViews>
    <sheetView topLeftCell="A13" workbookViewId="0">
      <selection activeCell="B1" sqref="B1:C49"/>
    </sheetView>
  </sheetViews>
  <sheetFormatPr defaultRowHeight="14.4" x14ac:dyDescent="0.3"/>
  <cols>
    <col min="9" max="9" width="14.77734375" customWidth="1"/>
    <col min="10" max="10" width="13.21875" customWidth="1"/>
    <col min="11" max="11" width="37.6640625" customWidth="1"/>
    <col min="12" max="12" width="34.33203125" customWidth="1"/>
    <col min="13" max="13" width="17.5546875" customWidth="1"/>
  </cols>
  <sheetData>
    <row r="1" spans="1:13" x14ac:dyDescent="0.3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1</v>
      </c>
      <c r="C2">
        <v>12345</v>
      </c>
      <c r="D2">
        <v>357</v>
      </c>
      <c r="E2">
        <v>272</v>
      </c>
      <c r="F2">
        <v>1586</v>
      </c>
      <c r="G2">
        <v>1586</v>
      </c>
      <c r="H2">
        <v>100</v>
      </c>
      <c r="I2">
        <v>3663.4370119999999</v>
      </c>
      <c r="J2">
        <v>33</v>
      </c>
      <c r="K2">
        <v>1</v>
      </c>
      <c r="L2">
        <v>31</v>
      </c>
      <c r="M2">
        <v>3418.6352379999998</v>
      </c>
    </row>
    <row r="3" spans="1:13" x14ac:dyDescent="0.3">
      <c r="A3" t="s">
        <v>12</v>
      </c>
      <c r="B3">
        <v>2</v>
      </c>
      <c r="C3">
        <v>12345</v>
      </c>
      <c r="D3">
        <v>523</v>
      </c>
      <c r="E3">
        <v>515</v>
      </c>
      <c r="F3">
        <v>1586</v>
      </c>
      <c r="G3">
        <v>1586</v>
      </c>
      <c r="H3">
        <v>100</v>
      </c>
      <c r="I3">
        <v>3685.8980230000002</v>
      </c>
      <c r="J3">
        <v>33</v>
      </c>
      <c r="K3">
        <v>1</v>
      </c>
      <c r="L3">
        <v>1</v>
      </c>
      <c r="M3">
        <v>132.625259</v>
      </c>
    </row>
    <row r="4" spans="1:13" x14ac:dyDescent="0.3">
      <c r="A4" t="s">
        <v>12</v>
      </c>
      <c r="B4">
        <v>1</v>
      </c>
      <c r="C4">
        <v>13579</v>
      </c>
      <c r="D4">
        <v>441</v>
      </c>
      <c r="E4">
        <v>277</v>
      </c>
      <c r="F4">
        <v>1538</v>
      </c>
      <c r="G4">
        <v>1538</v>
      </c>
      <c r="H4">
        <v>100</v>
      </c>
      <c r="I4">
        <v>3643.9969259999998</v>
      </c>
      <c r="J4">
        <v>32</v>
      </c>
      <c r="K4">
        <v>0</v>
      </c>
      <c r="L4">
        <v>32</v>
      </c>
      <c r="M4">
        <v>3643.9969259999998</v>
      </c>
    </row>
    <row r="5" spans="1:13" x14ac:dyDescent="0.3">
      <c r="A5" t="s">
        <v>12</v>
      </c>
      <c r="B5">
        <v>2</v>
      </c>
      <c r="C5">
        <v>13579</v>
      </c>
      <c r="D5">
        <v>519</v>
      </c>
      <c r="E5">
        <v>516</v>
      </c>
      <c r="F5">
        <v>1586</v>
      </c>
      <c r="G5">
        <v>1586</v>
      </c>
      <c r="H5">
        <v>100</v>
      </c>
      <c r="I5">
        <v>3675.8522459999999</v>
      </c>
      <c r="J5">
        <v>33</v>
      </c>
      <c r="K5">
        <v>1</v>
      </c>
      <c r="L5">
        <v>1</v>
      </c>
      <c r="M5">
        <v>131.54601</v>
      </c>
    </row>
    <row r="6" spans="1:13" x14ac:dyDescent="0.3">
      <c r="A6" t="s">
        <v>12</v>
      </c>
      <c r="B6">
        <v>1</v>
      </c>
      <c r="C6">
        <v>32165</v>
      </c>
      <c r="D6">
        <v>442</v>
      </c>
      <c r="E6">
        <v>275</v>
      </c>
      <c r="F6">
        <v>1586</v>
      </c>
      <c r="G6">
        <v>1586</v>
      </c>
      <c r="H6">
        <v>100</v>
      </c>
      <c r="I6">
        <v>3661.3604369999998</v>
      </c>
      <c r="J6">
        <v>33</v>
      </c>
      <c r="K6">
        <v>0</v>
      </c>
      <c r="L6">
        <v>33</v>
      </c>
      <c r="M6">
        <v>3661.3604369999998</v>
      </c>
    </row>
    <row r="7" spans="1:13" x14ac:dyDescent="0.3">
      <c r="A7" t="s">
        <v>12</v>
      </c>
      <c r="B7">
        <v>2</v>
      </c>
      <c r="C7">
        <v>32165</v>
      </c>
      <c r="D7">
        <v>521</v>
      </c>
      <c r="E7">
        <v>516</v>
      </c>
      <c r="F7">
        <v>1586</v>
      </c>
      <c r="G7">
        <v>1586</v>
      </c>
      <c r="H7">
        <v>100</v>
      </c>
      <c r="I7">
        <v>3683.5045559999999</v>
      </c>
      <c r="J7">
        <v>33</v>
      </c>
      <c r="K7">
        <v>1</v>
      </c>
      <c r="L7">
        <v>1</v>
      </c>
      <c r="M7">
        <v>129.88323800000001</v>
      </c>
    </row>
    <row r="8" spans="1:13" x14ac:dyDescent="0.3">
      <c r="A8" t="s">
        <v>12</v>
      </c>
      <c r="B8">
        <v>1</v>
      </c>
      <c r="C8">
        <v>98751</v>
      </c>
      <c r="D8">
        <v>443</v>
      </c>
      <c r="E8">
        <v>281</v>
      </c>
      <c r="F8">
        <v>1586</v>
      </c>
      <c r="G8">
        <v>1586</v>
      </c>
      <c r="H8">
        <v>100</v>
      </c>
      <c r="I8">
        <v>3652.015887</v>
      </c>
      <c r="J8">
        <v>33</v>
      </c>
      <c r="K8">
        <v>0</v>
      </c>
      <c r="L8">
        <v>25</v>
      </c>
      <c r="M8">
        <v>2725.7134759999999</v>
      </c>
    </row>
    <row r="9" spans="1:13" x14ac:dyDescent="0.3">
      <c r="A9" t="s">
        <v>12</v>
      </c>
      <c r="B9">
        <v>2</v>
      </c>
      <c r="C9">
        <v>98751</v>
      </c>
      <c r="D9">
        <v>522</v>
      </c>
      <c r="E9">
        <v>518</v>
      </c>
      <c r="F9">
        <v>1586</v>
      </c>
      <c r="G9">
        <v>1586</v>
      </c>
      <c r="H9">
        <v>100</v>
      </c>
      <c r="I9">
        <v>3702.4107279999998</v>
      </c>
      <c r="J9">
        <v>33</v>
      </c>
      <c r="K9">
        <v>1</v>
      </c>
      <c r="L9">
        <v>1</v>
      </c>
      <c r="M9">
        <v>136.38488100000001</v>
      </c>
    </row>
    <row r="10" spans="1:13" x14ac:dyDescent="0.3">
      <c r="A10" t="s">
        <v>13</v>
      </c>
      <c r="B10">
        <v>2</v>
      </c>
      <c r="C10">
        <v>12345</v>
      </c>
      <c r="D10">
        <v>311</v>
      </c>
      <c r="E10">
        <v>309</v>
      </c>
      <c r="F10">
        <v>1346</v>
      </c>
      <c r="G10">
        <v>1346</v>
      </c>
      <c r="H10">
        <v>100</v>
      </c>
      <c r="I10">
        <v>3656.9032179999999</v>
      </c>
      <c r="J10">
        <v>28</v>
      </c>
      <c r="K10">
        <v>1</v>
      </c>
      <c r="L10">
        <v>1</v>
      </c>
      <c r="M10">
        <v>146.904718</v>
      </c>
    </row>
    <row r="11" spans="1:13" x14ac:dyDescent="0.3">
      <c r="A11" t="s">
        <v>13</v>
      </c>
      <c r="B11">
        <v>4</v>
      </c>
      <c r="C11">
        <v>12345</v>
      </c>
      <c r="D11">
        <v>1656</v>
      </c>
      <c r="E11">
        <v>1649</v>
      </c>
      <c r="F11">
        <v>1394</v>
      </c>
      <c r="G11">
        <v>1394</v>
      </c>
      <c r="H11">
        <v>100</v>
      </c>
      <c r="I11">
        <v>3683.6929789999999</v>
      </c>
      <c r="J11">
        <v>29</v>
      </c>
      <c r="K11">
        <v>1</v>
      </c>
      <c r="L11">
        <v>1</v>
      </c>
      <c r="M11">
        <v>143.11423400000001</v>
      </c>
    </row>
    <row r="12" spans="1:13" x14ac:dyDescent="0.3">
      <c r="A12" t="s">
        <v>13</v>
      </c>
      <c r="B12">
        <v>2</v>
      </c>
      <c r="C12">
        <v>13579</v>
      </c>
      <c r="D12">
        <v>311</v>
      </c>
      <c r="E12">
        <v>311</v>
      </c>
      <c r="F12">
        <v>1394</v>
      </c>
      <c r="G12">
        <v>1394</v>
      </c>
      <c r="H12">
        <v>100</v>
      </c>
      <c r="I12">
        <v>3645.4778630000001</v>
      </c>
      <c r="J12">
        <v>29</v>
      </c>
      <c r="K12">
        <v>1</v>
      </c>
      <c r="L12">
        <v>1</v>
      </c>
      <c r="M12">
        <v>137.08713399999999</v>
      </c>
    </row>
    <row r="13" spans="1:13" x14ac:dyDescent="0.3">
      <c r="A13" t="s">
        <v>13</v>
      </c>
      <c r="B13">
        <v>4</v>
      </c>
      <c r="C13">
        <v>13579</v>
      </c>
      <c r="D13">
        <v>1653</v>
      </c>
      <c r="E13">
        <v>1646</v>
      </c>
      <c r="F13">
        <v>1298</v>
      </c>
      <c r="G13">
        <v>1298</v>
      </c>
      <c r="H13">
        <v>100</v>
      </c>
      <c r="I13">
        <v>3619.9191599999999</v>
      </c>
      <c r="J13">
        <v>27</v>
      </c>
      <c r="K13">
        <v>1</v>
      </c>
      <c r="L13">
        <v>1</v>
      </c>
      <c r="M13">
        <v>148.889442</v>
      </c>
    </row>
    <row r="14" spans="1:13" x14ac:dyDescent="0.3">
      <c r="A14" t="s">
        <v>13</v>
      </c>
      <c r="B14">
        <v>2</v>
      </c>
      <c r="C14">
        <v>32165</v>
      </c>
      <c r="D14">
        <v>312</v>
      </c>
      <c r="E14">
        <v>306</v>
      </c>
      <c r="F14">
        <v>1346</v>
      </c>
      <c r="G14">
        <v>1346</v>
      </c>
      <c r="H14">
        <v>100</v>
      </c>
      <c r="I14">
        <v>3607.0734900000002</v>
      </c>
      <c r="J14">
        <v>28</v>
      </c>
      <c r="K14">
        <v>1</v>
      </c>
      <c r="L14">
        <v>1</v>
      </c>
      <c r="M14">
        <v>145.572487</v>
      </c>
    </row>
    <row r="15" spans="1:13" x14ac:dyDescent="0.3">
      <c r="A15" t="s">
        <v>13</v>
      </c>
      <c r="B15">
        <v>4</v>
      </c>
      <c r="C15">
        <v>32165</v>
      </c>
      <c r="D15">
        <v>1647</v>
      </c>
      <c r="E15">
        <v>1641</v>
      </c>
      <c r="F15">
        <v>1394</v>
      </c>
      <c r="G15">
        <v>1394</v>
      </c>
      <c r="H15">
        <v>100</v>
      </c>
      <c r="I15">
        <v>3656.118473</v>
      </c>
      <c r="J15">
        <v>29</v>
      </c>
      <c r="K15">
        <v>1</v>
      </c>
      <c r="L15">
        <v>1</v>
      </c>
      <c r="M15">
        <v>141.205467</v>
      </c>
    </row>
    <row r="16" spans="1:13" x14ac:dyDescent="0.3">
      <c r="A16" t="s">
        <v>13</v>
      </c>
      <c r="B16">
        <v>2</v>
      </c>
      <c r="C16">
        <v>98751</v>
      </c>
      <c r="D16">
        <v>311</v>
      </c>
      <c r="E16">
        <v>309</v>
      </c>
      <c r="F16">
        <v>1394</v>
      </c>
      <c r="G16">
        <v>1394</v>
      </c>
      <c r="H16">
        <v>100</v>
      </c>
      <c r="I16">
        <v>3712.0136990000001</v>
      </c>
      <c r="J16">
        <v>29</v>
      </c>
      <c r="K16">
        <v>1</v>
      </c>
      <c r="L16">
        <v>1</v>
      </c>
      <c r="M16">
        <v>146.730526</v>
      </c>
    </row>
    <row r="17" spans="1:13" x14ac:dyDescent="0.3">
      <c r="A17" t="s">
        <v>13</v>
      </c>
      <c r="B17">
        <v>4</v>
      </c>
      <c r="C17">
        <v>98751</v>
      </c>
      <c r="D17">
        <v>1649</v>
      </c>
      <c r="E17">
        <v>1642</v>
      </c>
      <c r="F17">
        <v>1346</v>
      </c>
      <c r="G17">
        <v>1346</v>
      </c>
      <c r="H17">
        <v>100</v>
      </c>
      <c r="I17">
        <v>3623.572561</v>
      </c>
      <c r="J17">
        <v>28</v>
      </c>
      <c r="K17">
        <v>1</v>
      </c>
      <c r="L17">
        <v>1</v>
      </c>
      <c r="M17">
        <v>149.104288</v>
      </c>
    </row>
    <row r="18" spans="1:13" x14ac:dyDescent="0.3">
      <c r="A18" t="s">
        <v>14</v>
      </c>
      <c r="B18">
        <v>1</v>
      </c>
      <c r="C18">
        <v>12345</v>
      </c>
      <c r="D18">
        <v>27</v>
      </c>
      <c r="E18">
        <v>25</v>
      </c>
      <c r="F18">
        <v>4130</v>
      </c>
      <c r="G18">
        <v>4030</v>
      </c>
      <c r="H18">
        <v>97.578692493946704</v>
      </c>
      <c r="I18">
        <v>3827.6828919999998</v>
      </c>
      <c r="J18">
        <v>86</v>
      </c>
      <c r="K18">
        <v>1</v>
      </c>
      <c r="L18">
        <v>54</v>
      </c>
      <c r="M18">
        <v>439.40114699999998</v>
      </c>
    </row>
    <row r="19" spans="1:13" x14ac:dyDescent="0.3">
      <c r="A19" t="s">
        <v>14</v>
      </c>
      <c r="B19">
        <v>5</v>
      </c>
      <c r="C19">
        <v>12345</v>
      </c>
      <c r="D19">
        <v>48</v>
      </c>
      <c r="E19">
        <v>46</v>
      </c>
      <c r="F19">
        <v>2930</v>
      </c>
      <c r="G19">
        <v>2784</v>
      </c>
      <c r="H19">
        <v>95.017064846416304</v>
      </c>
      <c r="I19">
        <v>3608.8185910000002</v>
      </c>
      <c r="J19">
        <v>61</v>
      </c>
      <c r="K19">
        <v>1</v>
      </c>
      <c r="L19">
        <v>56</v>
      </c>
      <c r="M19">
        <v>1819.3599750000001</v>
      </c>
    </row>
    <row r="20" spans="1:13" x14ac:dyDescent="0.3">
      <c r="A20" t="s">
        <v>14</v>
      </c>
      <c r="B20">
        <v>10</v>
      </c>
      <c r="C20">
        <v>12345</v>
      </c>
      <c r="D20">
        <v>60</v>
      </c>
      <c r="E20">
        <v>57</v>
      </c>
      <c r="F20">
        <v>3266</v>
      </c>
      <c r="G20">
        <v>3078</v>
      </c>
      <c r="H20">
        <v>94.243723208818096</v>
      </c>
      <c r="I20">
        <v>3921.0659110000001</v>
      </c>
      <c r="J20">
        <v>68</v>
      </c>
      <c r="K20">
        <v>1</v>
      </c>
      <c r="L20">
        <v>52</v>
      </c>
      <c r="M20">
        <v>191.50075799999999</v>
      </c>
    </row>
    <row r="21" spans="1:13" x14ac:dyDescent="0.3">
      <c r="A21" t="s">
        <v>14</v>
      </c>
      <c r="B21">
        <v>1</v>
      </c>
      <c r="C21">
        <v>13579</v>
      </c>
      <c r="D21">
        <v>27</v>
      </c>
      <c r="E21">
        <v>25</v>
      </c>
      <c r="F21">
        <v>4178</v>
      </c>
      <c r="G21">
        <v>4085</v>
      </c>
      <c r="H21">
        <v>97.774054571565301</v>
      </c>
      <c r="I21">
        <v>3890.6378049999998</v>
      </c>
      <c r="J21">
        <v>87</v>
      </c>
      <c r="K21">
        <v>1</v>
      </c>
      <c r="L21">
        <v>55</v>
      </c>
      <c r="M21">
        <v>471.29278499999998</v>
      </c>
    </row>
    <row r="22" spans="1:13" x14ac:dyDescent="0.3">
      <c r="A22" t="s">
        <v>14</v>
      </c>
      <c r="B22">
        <v>5</v>
      </c>
      <c r="C22">
        <v>13579</v>
      </c>
      <c r="D22">
        <v>47</v>
      </c>
      <c r="E22">
        <v>45</v>
      </c>
      <c r="F22">
        <v>2978</v>
      </c>
      <c r="G22">
        <v>2789</v>
      </c>
      <c r="H22">
        <v>93.6534586971121</v>
      </c>
      <c r="I22">
        <v>3933.3928040000001</v>
      </c>
      <c r="J22">
        <v>62</v>
      </c>
      <c r="K22">
        <v>1</v>
      </c>
      <c r="L22">
        <v>61</v>
      </c>
      <c r="M22">
        <v>3577.3106990000001</v>
      </c>
    </row>
    <row r="23" spans="1:13" x14ac:dyDescent="0.3">
      <c r="A23" t="s">
        <v>14</v>
      </c>
      <c r="B23">
        <v>10</v>
      </c>
      <c r="C23">
        <v>13579</v>
      </c>
      <c r="D23">
        <v>60</v>
      </c>
      <c r="E23">
        <v>56</v>
      </c>
      <c r="F23">
        <v>3266</v>
      </c>
      <c r="G23">
        <v>3093</v>
      </c>
      <c r="H23">
        <v>94.703000612369806</v>
      </c>
      <c r="I23">
        <v>3762.8599389999999</v>
      </c>
      <c r="J23">
        <v>68</v>
      </c>
      <c r="K23">
        <v>1</v>
      </c>
      <c r="L23">
        <v>59</v>
      </c>
      <c r="M23">
        <v>865.14651200000003</v>
      </c>
    </row>
    <row r="24" spans="1:13" x14ac:dyDescent="0.3">
      <c r="A24" t="s">
        <v>14</v>
      </c>
      <c r="B24">
        <v>1</v>
      </c>
      <c r="C24">
        <v>32165</v>
      </c>
      <c r="D24">
        <v>26</v>
      </c>
      <c r="E24">
        <v>25</v>
      </c>
      <c r="F24">
        <v>4226</v>
      </c>
      <c r="G24">
        <v>4118</v>
      </c>
      <c r="H24">
        <v>97.444391859914802</v>
      </c>
      <c r="I24">
        <v>3915.4740630000001</v>
      </c>
      <c r="J24">
        <v>88</v>
      </c>
      <c r="K24">
        <v>1</v>
      </c>
      <c r="L24">
        <v>45</v>
      </c>
      <c r="M24">
        <v>207.243819</v>
      </c>
    </row>
    <row r="25" spans="1:13" x14ac:dyDescent="0.3">
      <c r="A25" t="s">
        <v>14</v>
      </c>
      <c r="B25">
        <v>5</v>
      </c>
      <c r="C25">
        <v>32165</v>
      </c>
      <c r="D25">
        <v>48</v>
      </c>
      <c r="E25">
        <v>45</v>
      </c>
      <c r="F25">
        <v>2978</v>
      </c>
      <c r="G25">
        <v>2798</v>
      </c>
      <c r="H25">
        <v>93.955674949630605</v>
      </c>
      <c r="I25">
        <v>3904.1879020000001</v>
      </c>
      <c r="J25">
        <v>62</v>
      </c>
      <c r="K25">
        <v>1</v>
      </c>
      <c r="L25">
        <v>44</v>
      </c>
      <c r="M25">
        <v>191.40396999999999</v>
      </c>
    </row>
    <row r="26" spans="1:13" x14ac:dyDescent="0.3">
      <c r="A26" t="s">
        <v>14</v>
      </c>
      <c r="B26">
        <v>10</v>
      </c>
      <c r="C26">
        <v>32165</v>
      </c>
      <c r="D26">
        <v>58</v>
      </c>
      <c r="E26">
        <v>56</v>
      </c>
      <c r="F26">
        <v>3266</v>
      </c>
      <c r="G26">
        <v>3083</v>
      </c>
      <c r="H26">
        <v>94.396815676668695</v>
      </c>
      <c r="I26">
        <v>3862.8745669999998</v>
      </c>
      <c r="J26">
        <v>68</v>
      </c>
      <c r="K26">
        <v>1</v>
      </c>
      <c r="L26">
        <v>55</v>
      </c>
      <c r="M26">
        <v>377.80319800000001</v>
      </c>
    </row>
    <row r="27" spans="1:13" x14ac:dyDescent="0.3">
      <c r="A27" t="s">
        <v>14</v>
      </c>
      <c r="B27">
        <v>1</v>
      </c>
      <c r="C27">
        <v>98751</v>
      </c>
      <c r="D27">
        <v>27</v>
      </c>
      <c r="E27">
        <v>25</v>
      </c>
      <c r="F27">
        <v>4226</v>
      </c>
      <c r="G27">
        <v>4117</v>
      </c>
      <c r="H27">
        <v>97.420728821580695</v>
      </c>
      <c r="I27">
        <v>3876.0776580000002</v>
      </c>
      <c r="J27">
        <v>88</v>
      </c>
      <c r="K27">
        <v>1</v>
      </c>
      <c r="L27">
        <v>65</v>
      </c>
      <c r="M27">
        <v>764.69814199999996</v>
      </c>
    </row>
    <row r="28" spans="1:13" x14ac:dyDescent="0.3">
      <c r="A28" t="s">
        <v>14</v>
      </c>
      <c r="B28">
        <v>5</v>
      </c>
      <c r="C28">
        <v>98751</v>
      </c>
      <c r="D28">
        <v>47</v>
      </c>
      <c r="E28">
        <v>45</v>
      </c>
      <c r="F28">
        <v>2978</v>
      </c>
      <c r="G28">
        <v>2792</v>
      </c>
      <c r="H28">
        <v>93.754197447951597</v>
      </c>
      <c r="I28">
        <v>3907.6844489999999</v>
      </c>
      <c r="J28">
        <v>62</v>
      </c>
      <c r="K28">
        <v>1</v>
      </c>
      <c r="L28">
        <v>61</v>
      </c>
      <c r="M28">
        <v>3570.52675</v>
      </c>
    </row>
    <row r="29" spans="1:13" x14ac:dyDescent="0.3">
      <c r="A29" t="s">
        <v>14</v>
      </c>
      <c r="B29">
        <v>10</v>
      </c>
      <c r="C29">
        <v>98751</v>
      </c>
      <c r="D29">
        <v>60</v>
      </c>
      <c r="E29">
        <v>56</v>
      </c>
      <c r="F29">
        <v>3266</v>
      </c>
      <c r="G29">
        <v>3083</v>
      </c>
      <c r="H29">
        <v>94.396815676668695</v>
      </c>
      <c r="I29">
        <v>3719.6580309999999</v>
      </c>
      <c r="J29">
        <v>68</v>
      </c>
      <c r="K29">
        <v>1</v>
      </c>
      <c r="L29">
        <v>57</v>
      </c>
      <c r="M29">
        <v>531.70623000000001</v>
      </c>
    </row>
    <row r="30" spans="1:13" x14ac:dyDescent="0.3">
      <c r="A30" t="s">
        <v>15</v>
      </c>
      <c r="B30">
        <v>3</v>
      </c>
      <c r="C30">
        <v>12345</v>
      </c>
      <c r="D30">
        <v>43</v>
      </c>
      <c r="E30">
        <v>39</v>
      </c>
      <c r="F30">
        <v>3650</v>
      </c>
      <c r="G30">
        <v>3461</v>
      </c>
      <c r="H30">
        <v>94.821917808219098</v>
      </c>
      <c r="I30">
        <v>3890.5876239999998</v>
      </c>
      <c r="J30">
        <v>76</v>
      </c>
      <c r="K30">
        <v>1</v>
      </c>
      <c r="L30">
        <v>64</v>
      </c>
      <c r="M30">
        <v>563.34020399999997</v>
      </c>
    </row>
    <row r="31" spans="1:13" x14ac:dyDescent="0.3">
      <c r="A31" t="s">
        <v>15</v>
      </c>
      <c r="B31">
        <v>3</v>
      </c>
      <c r="C31">
        <v>13579</v>
      </c>
      <c r="D31">
        <v>43</v>
      </c>
      <c r="E31">
        <v>39</v>
      </c>
      <c r="F31">
        <v>3602</v>
      </c>
      <c r="G31">
        <v>3455</v>
      </c>
      <c r="H31">
        <v>95.918933925596804</v>
      </c>
      <c r="I31">
        <v>3610.5514229999999</v>
      </c>
      <c r="J31">
        <v>75</v>
      </c>
      <c r="K31">
        <v>1</v>
      </c>
      <c r="L31">
        <v>73</v>
      </c>
      <c r="M31">
        <v>2918.2473199999999</v>
      </c>
    </row>
    <row r="32" spans="1:13" x14ac:dyDescent="0.3">
      <c r="A32" t="s">
        <v>15</v>
      </c>
      <c r="B32">
        <v>3</v>
      </c>
      <c r="C32">
        <v>32165</v>
      </c>
      <c r="D32">
        <v>43</v>
      </c>
      <c r="E32">
        <v>39</v>
      </c>
      <c r="F32">
        <v>3650</v>
      </c>
      <c r="G32">
        <v>3468</v>
      </c>
      <c r="H32">
        <v>95.013698630136901</v>
      </c>
      <c r="I32">
        <v>3943.4898119999998</v>
      </c>
      <c r="J32">
        <v>76</v>
      </c>
      <c r="K32">
        <v>1</v>
      </c>
      <c r="L32">
        <v>57</v>
      </c>
      <c r="M32">
        <v>202.53549699999999</v>
      </c>
    </row>
    <row r="33" spans="1:13" x14ac:dyDescent="0.3">
      <c r="A33" t="s">
        <v>15</v>
      </c>
      <c r="B33">
        <v>3</v>
      </c>
      <c r="C33">
        <v>98751</v>
      </c>
      <c r="D33">
        <v>44</v>
      </c>
      <c r="E33">
        <v>39</v>
      </c>
      <c r="F33">
        <v>3650</v>
      </c>
      <c r="G33">
        <v>3474</v>
      </c>
      <c r="H33">
        <v>95.178082191780803</v>
      </c>
      <c r="I33">
        <v>3749.4309400000002</v>
      </c>
      <c r="J33">
        <v>76</v>
      </c>
      <c r="K33">
        <v>1</v>
      </c>
      <c r="L33">
        <v>51</v>
      </c>
      <c r="M33">
        <v>111.388963</v>
      </c>
    </row>
    <row r="34" spans="1:13" x14ac:dyDescent="0.3">
      <c r="A34" t="s">
        <v>16</v>
      </c>
      <c r="B34">
        <v>1</v>
      </c>
      <c r="C34">
        <v>12345</v>
      </c>
      <c r="D34">
        <v>203</v>
      </c>
      <c r="E34">
        <v>203</v>
      </c>
      <c r="F34">
        <v>1874</v>
      </c>
      <c r="G34">
        <v>1656</v>
      </c>
      <c r="H34">
        <v>88.367129135538903</v>
      </c>
      <c r="I34">
        <v>3937.1529959999998</v>
      </c>
      <c r="J34">
        <v>39</v>
      </c>
      <c r="K34">
        <v>1</v>
      </c>
      <c r="L34">
        <v>1</v>
      </c>
      <c r="M34">
        <v>9.1352449999999994</v>
      </c>
    </row>
    <row r="35" spans="1:13" x14ac:dyDescent="0.3">
      <c r="A35" t="s">
        <v>16</v>
      </c>
      <c r="B35">
        <v>10</v>
      </c>
      <c r="C35">
        <v>12345</v>
      </c>
      <c r="D35">
        <v>453</v>
      </c>
      <c r="E35">
        <v>453</v>
      </c>
      <c r="F35">
        <v>1538</v>
      </c>
      <c r="G35">
        <v>1303</v>
      </c>
      <c r="H35">
        <v>84.720416124837399</v>
      </c>
      <c r="I35">
        <v>3949.791287</v>
      </c>
      <c r="J35">
        <v>32</v>
      </c>
      <c r="K35">
        <v>1</v>
      </c>
      <c r="L35">
        <v>1</v>
      </c>
      <c r="M35">
        <v>9.4897559999999999</v>
      </c>
    </row>
    <row r="36" spans="1:13" x14ac:dyDescent="0.3">
      <c r="A36" t="s">
        <v>16</v>
      </c>
      <c r="B36">
        <v>1</v>
      </c>
      <c r="C36">
        <v>13579</v>
      </c>
      <c r="D36">
        <v>205</v>
      </c>
      <c r="E36">
        <v>205</v>
      </c>
      <c r="F36">
        <v>1874</v>
      </c>
      <c r="G36">
        <v>1652</v>
      </c>
      <c r="H36">
        <v>88.153681963713893</v>
      </c>
      <c r="I36">
        <v>3994.83196</v>
      </c>
      <c r="J36">
        <v>39</v>
      </c>
      <c r="K36">
        <v>1</v>
      </c>
      <c r="L36">
        <v>1</v>
      </c>
      <c r="M36">
        <v>9.68</v>
      </c>
    </row>
    <row r="37" spans="1:13" x14ac:dyDescent="0.3">
      <c r="A37" t="s">
        <v>16</v>
      </c>
      <c r="B37">
        <v>10</v>
      </c>
      <c r="C37">
        <v>13579</v>
      </c>
      <c r="D37">
        <v>454</v>
      </c>
      <c r="E37">
        <v>454</v>
      </c>
      <c r="F37">
        <v>1442</v>
      </c>
      <c r="G37">
        <v>1208</v>
      </c>
      <c r="H37">
        <v>83.772538141470093</v>
      </c>
      <c r="I37">
        <v>3738.621995</v>
      </c>
      <c r="J37">
        <v>30</v>
      </c>
      <c r="K37">
        <v>1</v>
      </c>
      <c r="L37">
        <v>1</v>
      </c>
      <c r="M37">
        <v>9.4510229999999993</v>
      </c>
    </row>
    <row r="38" spans="1:13" x14ac:dyDescent="0.3">
      <c r="A38" t="s">
        <v>16</v>
      </c>
      <c r="B38">
        <v>1</v>
      </c>
      <c r="C38">
        <v>32165</v>
      </c>
      <c r="D38">
        <v>205</v>
      </c>
      <c r="E38">
        <v>205</v>
      </c>
      <c r="F38">
        <v>1874</v>
      </c>
      <c r="G38">
        <v>1664</v>
      </c>
      <c r="H38">
        <v>88.794023479188894</v>
      </c>
      <c r="I38">
        <v>3962.693624</v>
      </c>
      <c r="J38">
        <v>39</v>
      </c>
      <c r="K38">
        <v>1</v>
      </c>
      <c r="L38">
        <v>1</v>
      </c>
      <c r="M38">
        <v>9.4234639999999992</v>
      </c>
    </row>
    <row r="39" spans="1:13" x14ac:dyDescent="0.3">
      <c r="A39" t="s">
        <v>16</v>
      </c>
      <c r="B39">
        <v>10</v>
      </c>
      <c r="C39">
        <v>32165</v>
      </c>
      <c r="D39">
        <v>451</v>
      </c>
      <c r="E39">
        <v>450</v>
      </c>
      <c r="F39">
        <v>1490</v>
      </c>
      <c r="G39">
        <v>1267</v>
      </c>
      <c r="H39">
        <v>85.033557046979794</v>
      </c>
      <c r="I39">
        <v>3861.4037830000002</v>
      </c>
      <c r="J39">
        <v>31</v>
      </c>
      <c r="K39">
        <v>1</v>
      </c>
      <c r="L39">
        <v>1</v>
      </c>
      <c r="M39">
        <v>9.6991530000000008</v>
      </c>
    </row>
    <row r="40" spans="1:13" x14ac:dyDescent="0.3">
      <c r="A40" t="s">
        <v>16</v>
      </c>
      <c r="B40">
        <v>1</v>
      </c>
      <c r="C40">
        <v>98751</v>
      </c>
      <c r="D40">
        <v>205</v>
      </c>
      <c r="E40">
        <v>205</v>
      </c>
      <c r="F40">
        <v>1874</v>
      </c>
      <c r="G40">
        <v>1648</v>
      </c>
      <c r="H40">
        <v>87.940234791888997</v>
      </c>
      <c r="I40">
        <v>4004.118387</v>
      </c>
      <c r="J40">
        <v>39</v>
      </c>
      <c r="K40">
        <v>1</v>
      </c>
      <c r="L40">
        <v>1</v>
      </c>
      <c r="M40">
        <v>9.7313500000000008</v>
      </c>
    </row>
    <row r="41" spans="1:13" x14ac:dyDescent="0.3">
      <c r="A41" t="s">
        <v>16</v>
      </c>
      <c r="B41">
        <v>10</v>
      </c>
      <c r="C41">
        <v>98751</v>
      </c>
      <c r="D41">
        <v>449</v>
      </c>
      <c r="E41">
        <v>448</v>
      </c>
      <c r="F41">
        <v>1490</v>
      </c>
      <c r="G41">
        <v>1264</v>
      </c>
      <c r="H41">
        <v>84.832214765100602</v>
      </c>
      <c r="I41">
        <v>3803.2333490000001</v>
      </c>
      <c r="J41">
        <v>31</v>
      </c>
      <c r="K41">
        <v>1</v>
      </c>
      <c r="L41">
        <v>1</v>
      </c>
      <c r="M41">
        <v>8.0932189999999995</v>
      </c>
    </row>
    <row r="42" spans="1:13" x14ac:dyDescent="0.3">
      <c r="A42" t="s">
        <v>17</v>
      </c>
      <c r="B42">
        <v>2</v>
      </c>
      <c r="C42">
        <v>12345</v>
      </c>
      <c r="D42">
        <v>274</v>
      </c>
      <c r="E42">
        <v>274</v>
      </c>
      <c r="F42">
        <v>1826</v>
      </c>
      <c r="G42">
        <v>1592</v>
      </c>
      <c r="H42">
        <v>87.185104052573905</v>
      </c>
      <c r="I42">
        <v>3875.5739739999999</v>
      </c>
      <c r="J42">
        <v>38</v>
      </c>
      <c r="K42">
        <v>1</v>
      </c>
      <c r="L42">
        <v>1</v>
      </c>
      <c r="M42">
        <v>2.1136550000000001</v>
      </c>
    </row>
    <row r="43" spans="1:13" x14ac:dyDescent="0.3">
      <c r="A43" t="s">
        <v>17</v>
      </c>
      <c r="B43">
        <v>2</v>
      </c>
      <c r="C43">
        <v>13579</v>
      </c>
      <c r="D43">
        <v>277</v>
      </c>
      <c r="E43">
        <v>277</v>
      </c>
      <c r="F43">
        <v>1778</v>
      </c>
      <c r="G43">
        <v>1503</v>
      </c>
      <c r="H43">
        <v>84.533183352080897</v>
      </c>
      <c r="I43">
        <v>3989.2756260000001</v>
      </c>
      <c r="J43">
        <v>37</v>
      </c>
      <c r="K43">
        <v>1</v>
      </c>
      <c r="L43">
        <v>1</v>
      </c>
      <c r="M43">
        <v>1.5802769999999999</v>
      </c>
    </row>
    <row r="44" spans="1:13" x14ac:dyDescent="0.3">
      <c r="A44" t="s">
        <v>17</v>
      </c>
      <c r="B44">
        <v>2</v>
      </c>
      <c r="C44">
        <v>32165</v>
      </c>
      <c r="D44">
        <v>275</v>
      </c>
      <c r="E44">
        <v>275</v>
      </c>
      <c r="F44">
        <v>1826</v>
      </c>
      <c r="G44">
        <v>1583</v>
      </c>
      <c r="H44">
        <v>86.692223439211304</v>
      </c>
      <c r="I44">
        <v>3914.1315800000002</v>
      </c>
      <c r="J44">
        <v>38</v>
      </c>
      <c r="K44">
        <v>1</v>
      </c>
      <c r="L44">
        <v>1</v>
      </c>
      <c r="M44">
        <v>1.873759</v>
      </c>
    </row>
    <row r="45" spans="1:13" x14ac:dyDescent="0.3">
      <c r="A45" t="s">
        <v>17</v>
      </c>
      <c r="B45">
        <v>2</v>
      </c>
      <c r="C45">
        <v>98751</v>
      </c>
      <c r="D45">
        <v>277</v>
      </c>
      <c r="E45">
        <v>277</v>
      </c>
      <c r="F45">
        <v>1778</v>
      </c>
      <c r="G45">
        <v>1542</v>
      </c>
      <c r="H45">
        <v>86.726659167603998</v>
      </c>
      <c r="I45">
        <v>3755.6724709999999</v>
      </c>
      <c r="J45">
        <v>37</v>
      </c>
      <c r="K45">
        <v>1</v>
      </c>
      <c r="L45">
        <v>1</v>
      </c>
      <c r="M45">
        <v>1.802038</v>
      </c>
    </row>
    <row r="46" spans="1:13" x14ac:dyDescent="0.3">
      <c r="A46" t="s">
        <v>18</v>
      </c>
      <c r="B46">
        <v>5</v>
      </c>
      <c r="C46">
        <v>12345</v>
      </c>
      <c r="D46">
        <v>372</v>
      </c>
      <c r="E46">
        <v>371</v>
      </c>
      <c r="F46">
        <v>1586</v>
      </c>
      <c r="G46">
        <v>1348</v>
      </c>
      <c r="H46">
        <v>84.9936948297604</v>
      </c>
      <c r="I46">
        <v>3801.3963530000001</v>
      </c>
      <c r="J46">
        <v>33</v>
      </c>
      <c r="K46">
        <v>1</v>
      </c>
      <c r="L46">
        <v>1</v>
      </c>
      <c r="M46">
        <v>4.7359640000000001</v>
      </c>
    </row>
    <row r="47" spans="1:13" x14ac:dyDescent="0.3">
      <c r="A47" t="s">
        <v>18</v>
      </c>
      <c r="B47">
        <v>5</v>
      </c>
      <c r="C47">
        <v>13579</v>
      </c>
      <c r="D47">
        <v>369</v>
      </c>
      <c r="E47">
        <v>369</v>
      </c>
      <c r="F47">
        <v>1634</v>
      </c>
      <c r="G47">
        <v>1388</v>
      </c>
      <c r="H47">
        <v>84.944920440636395</v>
      </c>
      <c r="I47">
        <v>3999.6809370000001</v>
      </c>
      <c r="J47">
        <v>34</v>
      </c>
      <c r="K47">
        <v>1</v>
      </c>
      <c r="L47">
        <v>1</v>
      </c>
      <c r="M47">
        <v>4.4070159999999996</v>
      </c>
    </row>
    <row r="48" spans="1:13" x14ac:dyDescent="0.3">
      <c r="A48" t="s">
        <v>18</v>
      </c>
      <c r="B48">
        <v>5</v>
      </c>
      <c r="C48">
        <v>32165</v>
      </c>
      <c r="D48">
        <v>371</v>
      </c>
      <c r="E48">
        <v>369</v>
      </c>
      <c r="F48">
        <v>1586</v>
      </c>
      <c r="G48">
        <v>1342</v>
      </c>
      <c r="H48">
        <v>84.615384615384599</v>
      </c>
      <c r="I48">
        <v>3897.5286569999998</v>
      </c>
      <c r="J48">
        <v>33</v>
      </c>
      <c r="K48">
        <v>1</v>
      </c>
      <c r="L48">
        <v>1</v>
      </c>
      <c r="M48">
        <v>4.7616069999999997</v>
      </c>
    </row>
    <row r="49" spans="1:13" x14ac:dyDescent="0.3">
      <c r="A49" t="s">
        <v>18</v>
      </c>
      <c r="B49">
        <v>5</v>
      </c>
      <c r="C49">
        <v>98751</v>
      </c>
      <c r="D49">
        <v>370</v>
      </c>
      <c r="E49">
        <v>369</v>
      </c>
      <c r="F49">
        <v>1586</v>
      </c>
      <c r="G49">
        <v>1341</v>
      </c>
      <c r="H49">
        <v>84.552332912988604</v>
      </c>
      <c r="I49">
        <v>3862.9253779999999</v>
      </c>
      <c r="J49">
        <v>33</v>
      </c>
      <c r="K49">
        <v>1</v>
      </c>
      <c r="L49">
        <v>1</v>
      </c>
      <c r="M49">
        <v>4.4133990000000001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AEA4-5231-40F2-A8A1-CE6C5D3A968A}">
  <dimension ref="A1:E55"/>
  <sheetViews>
    <sheetView tabSelected="1" topLeftCell="A20" workbookViewId="0">
      <selection activeCell="G52" sqref="G52"/>
    </sheetView>
  </sheetViews>
  <sheetFormatPr defaultRowHeight="14.4" x14ac:dyDescent="0.3"/>
  <cols>
    <col min="1" max="3" width="17.21875" customWidth="1"/>
    <col min="4" max="4" width="50.109375" customWidth="1"/>
    <col min="5" max="5" width="41.21875" customWidth="1"/>
  </cols>
  <sheetData>
    <row r="1" spans="1:5" x14ac:dyDescent="0.3">
      <c r="A1" t="s">
        <v>26</v>
      </c>
      <c r="B1" t="s">
        <v>30</v>
      </c>
      <c r="C1" t="s">
        <v>1</v>
      </c>
      <c r="D1" t="s">
        <v>24</v>
      </c>
      <c r="E1" t="s">
        <v>25</v>
      </c>
    </row>
    <row r="2" spans="1:5" x14ac:dyDescent="0.3">
      <c r="A2" s="2" t="s">
        <v>12</v>
      </c>
      <c r="B2" s="2">
        <v>1</v>
      </c>
      <c r="C2" s="2">
        <v>12345</v>
      </c>
      <c r="D2" s="2">
        <v>100</v>
      </c>
      <c r="E2" s="2">
        <v>100</v>
      </c>
    </row>
    <row r="3" spans="1:5" x14ac:dyDescent="0.3">
      <c r="A3" s="2" t="s">
        <v>12</v>
      </c>
      <c r="B3" s="2">
        <v>2</v>
      </c>
      <c r="C3" s="2">
        <v>12345</v>
      </c>
      <c r="D3" s="2">
        <v>100</v>
      </c>
      <c r="E3" s="2">
        <v>100</v>
      </c>
    </row>
    <row r="4" spans="1:5" x14ac:dyDescent="0.3">
      <c r="A4" s="2" t="s">
        <v>12</v>
      </c>
      <c r="B4" s="2">
        <v>1</v>
      </c>
      <c r="C4" s="2">
        <v>13579</v>
      </c>
      <c r="D4" s="2">
        <v>100</v>
      </c>
      <c r="E4" s="2">
        <v>100</v>
      </c>
    </row>
    <row r="5" spans="1:5" x14ac:dyDescent="0.3">
      <c r="A5" s="2" t="s">
        <v>12</v>
      </c>
      <c r="B5" s="2">
        <v>2</v>
      </c>
      <c r="C5" s="2">
        <v>13579</v>
      </c>
      <c r="D5" s="2">
        <v>100</v>
      </c>
      <c r="E5" s="2">
        <v>100</v>
      </c>
    </row>
    <row r="6" spans="1:5" x14ac:dyDescent="0.3">
      <c r="A6" s="2" t="s">
        <v>12</v>
      </c>
      <c r="B6" s="2">
        <v>1</v>
      </c>
      <c r="C6" s="2">
        <v>32165</v>
      </c>
      <c r="D6" s="2">
        <v>100</v>
      </c>
      <c r="E6" s="2">
        <v>100</v>
      </c>
    </row>
    <row r="7" spans="1:5" x14ac:dyDescent="0.3">
      <c r="A7" s="2" t="s">
        <v>12</v>
      </c>
      <c r="B7" s="2">
        <v>2</v>
      </c>
      <c r="C7" s="2">
        <v>32165</v>
      </c>
      <c r="D7" s="2">
        <v>100</v>
      </c>
      <c r="E7" s="2">
        <v>100</v>
      </c>
    </row>
    <row r="8" spans="1:5" x14ac:dyDescent="0.3">
      <c r="A8" s="2" t="s">
        <v>12</v>
      </c>
      <c r="B8" s="2">
        <v>1</v>
      </c>
      <c r="C8" s="2">
        <v>98751</v>
      </c>
      <c r="D8" s="2">
        <v>100</v>
      </c>
      <c r="E8" s="2">
        <v>100</v>
      </c>
    </row>
    <row r="9" spans="1:5" x14ac:dyDescent="0.3">
      <c r="A9" s="2" t="s">
        <v>12</v>
      </c>
      <c r="B9" s="2">
        <v>2</v>
      </c>
      <c r="C9" s="2">
        <v>98751</v>
      </c>
      <c r="D9" s="2">
        <v>100</v>
      </c>
      <c r="E9" s="2">
        <v>100</v>
      </c>
    </row>
    <row r="10" spans="1:5" x14ac:dyDescent="0.3">
      <c r="A10" s="2" t="s">
        <v>13</v>
      </c>
      <c r="B10" s="2">
        <v>2</v>
      </c>
      <c r="C10" s="2">
        <v>12345</v>
      </c>
      <c r="D10" s="2">
        <v>100</v>
      </c>
      <c r="E10" s="2">
        <v>100</v>
      </c>
    </row>
    <row r="11" spans="1:5" x14ac:dyDescent="0.3">
      <c r="A11" s="2" t="s">
        <v>13</v>
      </c>
      <c r="B11" s="2">
        <v>4</v>
      </c>
      <c r="C11" s="2">
        <v>12345</v>
      </c>
      <c r="D11" s="2">
        <v>100</v>
      </c>
      <c r="E11" s="2">
        <v>100</v>
      </c>
    </row>
    <row r="12" spans="1:5" x14ac:dyDescent="0.3">
      <c r="A12" s="2" t="s">
        <v>13</v>
      </c>
      <c r="B12" s="2">
        <v>2</v>
      </c>
      <c r="C12" s="2">
        <v>13579</v>
      </c>
      <c r="D12" s="2">
        <v>100</v>
      </c>
      <c r="E12" s="2">
        <v>100</v>
      </c>
    </row>
    <row r="13" spans="1:5" x14ac:dyDescent="0.3">
      <c r="A13" s="2" t="s">
        <v>13</v>
      </c>
      <c r="B13" s="2">
        <v>4</v>
      </c>
      <c r="C13" s="2">
        <v>13579</v>
      </c>
      <c r="D13" s="2">
        <v>100</v>
      </c>
      <c r="E13" s="2">
        <v>100</v>
      </c>
    </row>
    <row r="14" spans="1:5" x14ac:dyDescent="0.3">
      <c r="A14" s="2" t="s">
        <v>13</v>
      </c>
      <c r="B14" s="2">
        <v>2</v>
      </c>
      <c r="C14" s="2">
        <v>32165</v>
      </c>
      <c r="D14" s="2">
        <v>100</v>
      </c>
      <c r="E14" s="2">
        <v>100</v>
      </c>
    </row>
    <row r="15" spans="1:5" x14ac:dyDescent="0.3">
      <c r="A15" s="2" t="s">
        <v>13</v>
      </c>
      <c r="B15" s="2">
        <v>4</v>
      </c>
      <c r="C15" s="2">
        <v>32165</v>
      </c>
      <c r="D15" s="2">
        <v>100</v>
      </c>
      <c r="E15" s="2">
        <v>100</v>
      </c>
    </row>
    <row r="16" spans="1:5" x14ac:dyDescent="0.3">
      <c r="A16" s="2" t="s">
        <v>13</v>
      </c>
      <c r="B16" s="2">
        <v>2</v>
      </c>
      <c r="C16" s="2">
        <v>98751</v>
      </c>
      <c r="D16" s="2">
        <v>100</v>
      </c>
      <c r="E16" s="2">
        <v>100</v>
      </c>
    </row>
    <row r="17" spans="1:5" x14ac:dyDescent="0.3">
      <c r="A17" s="2" t="s">
        <v>13</v>
      </c>
      <c r="B17" s="2">
        <v>4</v>
      </c>
      <c r="C17" s="2">
        <v>98751</v>
      </c>
      <c r="D17" s="2">
        <v>100</v>
      </c>
      <c r="E17" s="2">
        <v>100</v>
      </c>
    </row>
    <row r="18" spans="1:5" x14ac:dyDescent="0.3">
      <c r="A18" t="s">
        <v>14</v>
      </c>
      <c r="B18">
        <v>1</v>
      </c>
      <c r="C18">
        <v>12345</v>
      </c>
      <c r="D18">
        <v>97.966101694915196</v>
      </c>
      <c r="E18">
        <v>97.578692493946704</v>
      </c>
    </row>
    <row r="19" spans="1:5" x14ac:dyDescent="0.3">
      <c r="A19" s="1" t="s">
        <v>14</v>
      </c>
      <c r="B19" s="1">
        <v>5</v>
      </c>
      <c r="C19" s="1">
        <v>12345</v>
      </c>
      <c r="D19" s="1">
        <v>94.358629952988494</v>
      </c>
      <c r="E19" s="1">
        <v>95.017064846416304</v>
      </c>
    </row>
    <row r="20" spans="1:5" x14ac:dyDescent="0.3">
      <c r="A20" s="1" t="s">
        <v>14</v>
      </c>
      <c r="B20" s="1">
        <v>10</v>
      </c>
      <c r="C20" s="1">
        <v>12345</v>
      </c>
      <c r="D20" s="1">
        <v>93.906919779546797</v>
      </c>
      <c r="E20" s="1">
        <v>94.243723208818096</v>
      </c>
    </row>
    <row r="21" spans="1:5" x14ac:dyDescent="0.3">
      <c r="A21" t="s">
        <v>14</v>
      </c>
      <c r="B21">
        <v>1</v>
      </c>
      <c r="C21">
        <v>13579</v>
      </c>
      <c r="D21">
        <v>98.135593220338905</v>
      </c>
      <c r="E21">
        <v>97.774054571565301</v>
      </c>
    </row>
    <row r="22" spans="1:5" x14ac:dyDescent="0.3">
      <c r="A22" t="s">
        <v>14</v>
      </c>
      <c r="B22">
        <v>5</v>
      </c>
      <c r="C22">
        <v>13579</v>
      </c>
      <c r="D22">
        <v>94.694425789120203</v>
      </c>
      <c r="E22">
        <v>93.6534586971121</v>
      </c>
    </row>
    <row r="23" spans="1:5" x14ac:dyDescent="0.3">
      <c r="A23" s="1" t="s">
        <v>14</v>
      </c>
      <c r="B23" s="1">
        <v>10</v>
      </c>
      <c r="C23" s="1">
        <v>13579</v>
      </c>
      <c r="D23" s="1">
        <v>94.029393753827307</v>
      </c>
      <c r="E23" s="1">
        <v>94.703000612369806</v>
      </c>
    </row>
    <row r="24" spans="1:5" x14ac:dyDescent="0.3">
      <c r="A24" t="s">
        <v>14</v>
      </c>
      <c r="B24">
        <v>1</v>
      </c>
      <c r="C24">
        <v>32165</v>
      </c>
      <c r="D24">
        <v>97.654380086165602</v>
      </c>
      <c r="E24">
        <v>97.444391859914802</v>
      </c>
    </row>
    <row r="25" spans="1:5" x14ac:dyDescent="0.3">
      <c r="A25" s="1" t="s">
        <v>14</v>
      </c>
      <c r="B25" s="1">
        <v>5</v>
      </c>
      <c r="C25" s="1">
        <v>32165</v>
      </c>
      <c r="D25" s="1">
        <v>93.754197447951597</v>
      </c>
      <c r="E25" s="1">
        <v>93.955674949630605</v>
      </c>
    </row>
    <row r="26" spans="1:5" x14ac:dyDescent="0.3">
      <c r="A26" t="s">
        <v>14</v>
      </c>
      <c r="B26">
        <v>10</v>
      </c>
      <c r="C26">
        <v>32165</v>
      </c>
      <c r="D26">
        <v>94.794856093080199</v>
      </c>
      <c r="E26">
        <v>94.396815676668695</v>
      </c>
    </row>
    <row r="27" spans="1:5" x14ac:dyDescent="0.3">
      <c r="A27" t="s">
        <v>14</v>
      </c>
      <c r="B27">
        <v>1</v>
      </c>
      <c r="C27">
        <v>98751</v>
      </c>
      <c r="D27">
        <v>97.893729056965</v>
      </c>
      <c r="E27">
        <v>97.420728821580695</v>
      </c>
    </row>
    <row r="28" spans="1:5" x14ac:dyDescent="0.3">
      <c r="A28" t="s">
        <v>14</v>
      </c>
      <c r="B28">
        <v>5</v>
      </c>
      <c r="C28">
        <v>98751</v>
      </c>
      <c r="D28">
        <v>94.056413700470102</v>
      </c>
      <c r="E28">
        <v>93.754197447951597</v>
      </c>
    </row>
    <row r="29" spans="1:5" x14ac:dyDescent="0.3">
      <c r="A29" t="s">
        <v>14</v>
      </c>
      <c r="B29">
        <v>10</v>
      </c>
      <c r="C29">
        <v>98751</v>
      </c>
      <c r="D29">
        <v>94.519289650949105</v>
      </c>
      <c r="E29">
        <v>94.396815676668695</v>
      </c>
    </row>
    <row r="30" spans="1:5" x14ac:dyDescent="0.3">
      <c r="A30" t="s">
        <v>15</v>
      </c>
      <c r="B30">
        <v>3</v>
      </c>
      <c r="C30">
        <v>12345</v>
      </c>
      <c r="D30">
        <v>95.506849315068493</v>
      </c>
      <c r="E30">
        <v>94.821917808219098</v>
      </c>
    </row>
    <row r="31" spans="1:5" x14ac:dyDescent="0.3">
      <c r="A31" s="1" t="s">
        <v>15</v>
      </c>
      <c r="B31" s="1">
        <v>3</v>
      </c>
      <c r="C31" s="1">
        <v>13579</v>
      </c>
      <c r="D31" s="1">
        <v>95.159545700378501</v>
      </c>
      <c r="E31" s="1">
        <v>95.918933925596804</v>
      </c>
    </row>
    <row r="32" spans="1:5" x14ac:dyDescent="0.3">
      <c r="A32" s="1" t="s">
        <v>15</v>
      </c>
      <c r="B32" s="1">
        <v>3</v>
      </c>
      <c r="C32" s="1">
        <v>32165</v>
      </c>
      <c r="D32" s="1">
        <v>94.970254191454799</v>
      </c>
      <c r="E32" s="1">
        <v>95.013698630136901</v>
      </c>
    </row>
    <row r="33" spans="1:5" x14ac:dyDescent="0.3">
      <c r="A33" t="s">
        <v>15</v>
      </c>
      <c r="B33">
        <v>3</v>
      </c>
      <c r="C33">
        <v>98751</v>
      </c>
      <c r="D33">
        <v>95.452054794520507</v>
      </c>
      <c r="E33">
        <v>95.178082191780803</v>
      </c>
    </row>
    <row r="34" spans="1:5" x14ac:dyDescent="0.3">
      <c r="A34" s="1" t="s">
        <v>16</v>
      </c>
      <c r="B34" s="1">
        <v>1</v>
      </c>
      <c r="C34" s="1">
        <v>12345</v>
      </c>
      <c r="D34" s="1">
        <v>87.993596584845207</v>
      </c>
      <c r="E34" s="1">
        <v>88.367129135538903</v>
      </c>
    </row>
    <row r="35" spans="1:5" x14ac:dyDescent="0.3">
      <c r="A35" t="s">
        <v>16</v>
      </c>
      <c r="B35">
        <v>10</v>
      </c>
      <c r="C35">
        <v>12345</v>
      </c>
      <c r="D35">
        <v>86.020806241872506</v>
      </c>
      <c r="E35">
        <v>84.720416124837399</v>
      </c>
    </row>
    <row r="36" spans="1:5" x14ac:dyDescent="0.3">
      <c r="A36" t="s">
        <v>16</v>
      </c>
      <c r="B36">
        <v>1</v>
      </c>
      <c r="C36">
        <v>13579</v>
      </c>
      <c r="D36">
        <v>88.554216867469805</v>
      </c>
      <c r="E36">
        <v>88.153681963713893</v>
      </c>
    </row>
    <row r="37" spans="1:5" x14ac:dyDescent="0.3">
      <c r="A37" t="s">
        <v>16</v>
      </c>
      <c r="B37">
        <v>10</v>
      </c>
      <c r="C37">
        <v>13579</v>
      </c>
      <c r="D37">
        <v>84.697986577181197</v>
      </c>
      <c r="E37">
        <v>83.772538141470093</v>
      </c>
    </row>
    <row r="38" spans="1:5" x14ac:dyDescent="0.3">
      <c r="A38" s="1" t="s">
        <v>16</v>
      </c>
      <c r="B38" s="1">
        <v>1</v>
      </c>
      <c r="C38" s="1">
        <v>32165</v>
      </c>
      <c r="D38" s="1">
        <v>88.207043756670203</v>
      </c>
      <c r="E38" s="1">
        <v>88.794023479188894</v>
      </c>
    </row>
    <row r="39" spans="1:5" x14ac:dyDescent="0.3">
      <c r="A39" s="1" t="s">
        <v>16</v>
      </c>
      <c r="B39" s="1">
        <v>10</v>
      </c>
      <c r="C39" s="1">
        <v>32165</v>
      </c>
      <c r="D39" s="1">
        <v>84.563758389261693</v>
      </c>
      <c r="E39" s="1">
        <v>85.033557046979794</v>
      </c>
    </row>
    <row r="40" spans="1:5" x14ac:dyDescent="0.3">
      <c r="A40" t="s">
        <v>16</v>
      </c>
      <c r="B40">
        <v>1</v>
      </c>
      <c r="C40">
        <v>98751</v>
      </c>
      <c r="D40">
        <v>88.937568455640701</v>
      </c>
      <c r="E40">
        <v>87.940234791888997</v>
      </c>
    </row>
    <row r="41" spans="1:5" x14ac:dyDescent="0.3">
      <c r="A41" t="s">
        <v>16</v>
      </c>
      <c r="B41">
        <v>10</v>
      </c>
      <c r="C41">
        <v>98751</v>
      </c>
      <c r="D41">
        <v>85.704697986577102</v>
      </c>
      <c r="E41">
        <v>84.832214765100602</v>
      </c>
    </row>
    <row r="42" spans="1:5" x14ac:dyDescent="0.3">
      <c r="A42" t="s">
        <v>17</v>
      </c>
      <c r="B42">
        <v>2</v>
      </c>
      <c r="C42">
        <v>12345</v>
      </c>
      <c r="D42">
        <v>87.353255069370306</v>
      </c>
      <c r="E42">
        <v>87.185104052573905</v>
      </c>
    </row>
    <row r="43" spans="1:5" x14ac:dyDescent="0.3">
      <c r="A43" t="s">
        <v>17</v>
      </c>
      <c r="B43">
        <v>2</v>
      </c>
      <c r="C43">
        <v>13579</v>
      </c>
      <c r="D43">
        <v>87.086446104589101</v>
      </c>
      <c r="E43">
        <v>84.533183352080897</v>
      </c>
    </row>
    <row r="44" spans="1:5" x14ac:dyDescent="0.3">
      <c r="A44" s="1" t="s">
        <v>17</v>
      </c>
      <c r="B44" s="1">
        <v>2</v>
      </c>
      <c r="C44" s="1">
        <v>32165</v>
      </c>
      <c r="D44" s="1">
        <v>86.659551760939095</v>
      </c>
      <c r="E44" s="1">
        <v>86.692223439211304</v>
      </c>
    </row>
    <row r="45" spans="1:5" x14ac:dyDescent="0.3">
      <c r="A45" t="s">
        <v>17</v>
      </c>
      <c r="B45">
        <v>2</v>
      </c>
      <c r="C45">
        <v>98751</v>
      </c>
      <c r="D45">
        <v>87.617065556711694</v>
      </c>
      <c r="E45">
        <v>86.726659167603998</v>
      </c>
    </row>
    <row r="46" spans="1:5" x14ac:dyDescent="0.3">
      <c r="A46" t="s">
        <v>18</v>
      </c>
      <c r="B46">
        <v>5</v>
      </c>
      <c r="C46">
        <v>12345</v>
      </c>
      <c r="D46">
        <v>85.250917992655999</v>
      </c>
      <c r="E46">
        <v>84.9936948297604</v>
      </c>
    </row>
    <row r="47" spans="1:5" x14ac:dyDescent="0.3">
      <c r="A47" t="s">
        <v>18</v>
      </c>
      <c r="B47">
        <v>5</v>
      </c>
      <c r="C47">
        <v>13579</v>
      </c>
      <c r="D47">
        <v>85.740514075887404</v>
      </c>
      <c r="E47">
        <v>84.944920440636395</v>
      </c>
    </row>
    <row r="48" spans="1:5" x14ac:dyDescent="0.3">
      <c r="A48" t="s">
        <v>18</v>
      </c>
      <c r="B48">
        <v>5</v>
      </c>
      <c r="C48">
        <v>32165</v>
      </c>
      <c r="D48">
        <v>85.862913096695195</v>
      </c>
      <c r="E48">
        <v>84.615384615384599</v>
      </c>
    </row>
    <row r="49" spans="1:5" x14ac:dyDescent="0.3">
      <c r="A49" t="s">
        <v>18</v>
      </c>
      <c r="B49">
        <v>5</v>
      </c>
      <c r="C49">
        <v>98751</v>
      </c>
      <c r="D49">
        <v>86.597307221542195</v>
      </c>
      <c r="E49">
        <v>84.552332912988604</v>
      </c>
    </row>
    <row r="53" spans="1:5" x14ac:dyDescent="0.3">
      <c r="D53" s="1" t="s">
        <v>29</v>
      </c>
    </row>
    <row r="54" spans="1:5" x14ac:dyDescent="0.3">
      <c r="D54" s="2" t="s">
        <v>28</v>
      </c>
    </row>
    <row r="55" spans="1:5" x14ac:dyDescent="0.3">
      <c r="D55" t="s">
        <v>27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830C-A3A3-4FC4-9BC9-C524EC58CCED}">
  <dimension ref="A1:J49"/>
  <sheetViews>
    <sheetView topLeftCell="A4" workbookViewId="0">
      <selection activeCell="L19" sqref="L19"/>
    </sheetView>
  </sheetViews>
  <sheetFormatPr defaultRowHeight="14.4" x14ac:dyDescent="0.3"/>
  <cols>
    <col min="4" max="4" width="50.6640625" customWidth="1"/>
    <col min="5" max="5" width="62.33203125" customWidth="1"/>
    <col min="9" max="9" width="25.33203125" customWidth="1"/>
    <col min="10" max="10" width="17.88671875" customWidth="1"/>
  </cols>
  <sheetData>
    <row r="1" spans="1:10" x14ac:dyDescent="0.3">
      <c r="A1" t="s">
        <v>0</v>
      </c>
      <c r="B1" t="s">
        <v>30</v>
      </c>
      <c r="C1" t="s">
        <v>1</v>
      </c>
      <c r="D1" t="s">
        <v>31</v>
      </c>
      <c r="E1" t="s">
        <v>32</v>
      </c>
    </row>
    <row r="2" spans="1:10" x14ac:dyDescent="0.3">
      <c r="A2" t="s">
        <v>12</v>
      </c>
      <c r="B2">
        <v>1</v>
      </c>
      <c r="C2">
        <v>12345</v>
      </c>
      <c r="D2">
        <v>105.21344977142857</v>
      </c>
      <c r="E2">
        <v>111.01324278787878</v>
      </c>
    </row>
    <row r="3" spans="1:10" x14ac:dyDescent="0.3">
      <c r="A3" t="s">
        <v>12</v>
      </c>
      <c r="B3">
        <v>2</v>
      </c>
      <c r="C3">
        <v>12345</v>
      </c>
      <c r="D3">
        <v>105.95425473529411</v>
      </c>
      <c r="E3">
        <v>111.69387948484849</v>
      </c>
      <c r="I3" t="s">
        <v>33</v>
      </c>
    </row>
    <row r="4" spans="1:10" x14ac:dyDescent="0.3">
      <c r="A4" t="s">
        <v>12</v>
      </c>
      <c r="B4">
        <v>1</v>
      </c>
      <c r="C4">
        <v>13579</v>
      </c>
      <c r="D4">
        <v>107.94634114705883</v>
      </c>
      <c r="E4">
        <v>113.87490393749999</v>
      </c>
    </row>
    <row r="5" spans="1:10" x14ac:dyDescent="0.3">
      <c r="A5" t="s">
        <v>12</v>
      </c>
      <c r="B5">
        <v>2</v>
      </c>
      <c r="C5">
        <v>13579</v>
      </c>
      <c r="D5">
        <v>106.83167158823528</v>
      </c>
      <c r="E5">
        <v>111.38946199999999</v>
      </c>
      <c r="I5" t="s">
        <v>20</v>
      </c>
      <c r="J5" t="s">
        <v>21</v>
      </c>
    </row>
    <row r="6" spans="1:10" x14ac:dyDescent="0.3">
      <c r="A6" t="s">
        <v>12</v>
      </c>
      <c r="B6">
        <v>1</v>
      </c>
      <c r="C6">
        <v>32165</v>
      </c>
      <c r="D6">
        <v>104.5813162</v>
      </c>
      <c r="E6">
        <v>110.95031627272726</v>
      </c>
    </row>
    <row r="7" spans="1:10" x14ac:dyDescent="0.3">
      <c r="A7" t="s">
        <v>12</v>
      </c>
      <c r="B7">
        <v>2</v>
      </c>
      <c r="C7">
        <v>32165</v>
      </c>
      <c r="D7">
        <v>105.27101451428572</v>
      </c>
      <c r="E7">
        <v>111.62135018181817</v>
      </c>
    </row>
    <row r="8" spans="1:10" x14ac:dyDescent="0.3">
      <c r="A8" t="s">
        <v>12</v>
      </c>
      <c r="B8">
        <v>1</v>
      </c>
      <c r="C8">
        <v>98751</v>
      </c>
      <c r="D8">
        <v>106.8054485</v>
      </c>
      <c r="E8">
        <v>110.66714809090909</v>
      </c>
    </row>
    <row r="9" spans="1:10" x14ac:dyDescent="0.3">
      <c r="A9" t="s">
        <v>12</v>
      </c>
      <c r="B9">
        <v>2</v>
      </c>
      <c r="C9">
        <v>98751</v>
      </c>
      <c r="D9">
        <v>105.00920739999999</v>
      </c>
      <c r="E9">
        <v>112.19426448484847</v>
      </c>
      <c r="H9" t="s">
        <v>19</v>
      </c>
      <c r="I9">
        <f>AVERAGE(D2:D17)</f>
        <v>115.4407277709758</v>
      </c>
      <c r="J9">
        <f>AVERAGE(E2:E17)</f>
        <v>120.19501529805345</v>
      </c>
    </row>
    <row r="10" spans="1:10" x14ac:dyDescent="0.3">
      <c r="A10" t="s">
        <v>13</v>
      </c>
      <c r="B10">
        <v>2</v>
      </c>
      <c r="C10">
        <v>12345</v>
      </c>
      <c r="D10">
        <v>125.18289893103447</v>
      </c>
      <c r="E10">
        <v>130.60368635714286</v>
      </c>
    </row>
    <row r="11" spans="1:10" x14ac:dyDescent="0.3">
      <c r="A11" t="s">
        <v>13</v>
      </c>
      <c r="B11">
        <v>4</v>
      </c>
      <c r="C11">
        <v>12345</v>
      </c>
      <c r="D11">
        <v>125.71724296551723</v>
      </c>
      <c r="E11">
        <v>127.0238958275862</v>
      </c>
    </row>
    <row r="12" spans="1:10" x14ac:dyDescent="0.3">
      <c r="A12" t="s">
        <v>13</v>
      </c>
      <c r="B12">
        <v>2</v>
      </c>
      <c r="C12">
        <v>13579</v>
      </c>
      <c r="D12">
        <v>123.43936693333333</v>
      </c>
      <c r="E12">
        <v>125.70613320689655</v>
      </c>
    </row>
    <row r="13" spans="1:10" x14ac:dyDescent="0.3">
      <c r="A13" t="s">
        <v>13</v>
      </c>
      <c r="B13">
        <v>4</v>
      </c>
      <c r="C13">
        <v>13579</v>
      </c>
      <c r="D13">
        <v>126.73973458620689</v>
      </c>
      <c r="E13">
        <v>134.07107999999999</v>
      </c>
    </row>
    <row r="14" spans="1:10" x14ac:dyDescent="0.3">
      <c r="A14" t="s">
        <v>13</v>
      </c>
      <c r="B14">
        <v>2</v>
      </c>
      <c r="C14">
        <v>32165</v>
      </c>
      <c r="D14">
        <v>124.93322606896552</v>
      </c>
      <c r="E14">
        <v>128.82405321428573</v>
      </c>
    </row>
    <row r="15" spans="1:10" x14ac:dyDescent="0.3">
      <c r="A15" t="s">
        <v>13</v>
      </c>
      <c r="B15">
        <v>4</v>
      </c>
      <c r="C15">
        <v>32165</v>
      </c>
      <c r="D15">
        <v>124.13095516666667</v>
      </c>
      <c r="E15">
        <v>126.07305079310345</v>
      </c>
    </row>
    <row r="16" spans="1:10" x14ac:dyDescent="0.3">
      <c r="A16" t="s">
        <v>13</v>
      </c>
      <c r="B16">
        <v>2</v>
      </c>
      <c r="C16">
        <v>98751</v>
      </c>
      <c r="D16">
        <v>125.09365510344828</v>
      </c>
      <c r="E16">
        <v>128.00047237931034</v>
      </c>
    </row>
    <row r="17" spans="1:10" x14ac:dyDescent="0.3">
      <c r="A17" t="s">
        <v>13</v>
      </c>
      <c r="B17">
        <v>4</v>
      </c>
      <c r="C17">
        <v>98751</v>
      </c>
      <c r="D17">
        <v>124.20186072413793</v>
      </c>
      <c r="E17">
        <v>129.41330575000001</v>
      </c>
    </row>
    <row r="18" spans="1:10" x14ac:dyDescent="0.3">
      <c r="A18" t="s">
        <v>14</v>
      </c>
      <c r="B18">
        <v>1</v>
      </c>
      <c r="C18">
        <v>12345</v>
      </c>
      <c r="D18">
        <v>42.340091860465115</v>
      </c>
      <c r="E18">
        <v>44.507940604651161</v>
      </c>
    </row>
    <row r="19" spans="1:10" x14ac:dyDescent="0.3">
      <c r="A19" t="s">
        <v>14</v>
      </c>
      <c r="B19">
        <v>5</v>
      </c>
      <c r="C19">
        <v>12345</v>
      </c>
      <c r="D19">
        <v>59.811548112903225</v>
      </c>
      <c r="E19">
        <v>59.160960508196723</v>
      </c>
    </row>
    <row r="20" spans="1:10" x14ac:dyDescent="0.3">
      <c r="A20" t="s">
        <v>14</v>
      </c>
      <c r="B20">
        <v>10</v>
      </c>
      <c r="C20">
        <v>12345</v>
      </c>
      <c r="D20">
        <v>56.209824999999995</v>
      </c>
      <c r="E20">
        <v>57.662733985294118</v>
      </c>
    </row>
    <row r="21" spans="1:10" x14ac:dyDescent="0.3">
      <c r="A21" t="s">
        <v>14</v>
      </c>
      <c r="B21">
        <v>1</v>
      </c>
      <c r="C21">
        <v>13579</v>
      </c>
      <c r="D21">
        <v>42.197407372093025</v>
      </c>
      <c r="E21">
        <v>44.719974770114938</v>
      </c>
    </row>
    <row r="22" spans="1:10" x14ac:dyDescent="0.3">
      <c r="A22" t="s">
        <v>14</v>
      </c>
      <c r="B22">
        <v>5</v>
      </c>
      <c r="C22">
        <v>13579</v>
      </c>
      <c r="D22">
        <v>59.861093838709678</v>
      </c>
      <c r="E22">
        <v>63.441819419354843</v>
      </c>
    </row>
    <row r="23" spans="1:10" x14ac:dyDescent="0.3">
      <c r="A23" t="s">
        <v>14</v>
      </c>
      <c r="B23">
        <v>10</v>
      </c>
      <c r="C23">
        <v>13579</v>
      </c>
      <c r="D23">
        <v>56.647321352941177</v>
      </c>
      <c r="E23">
        <v>55.33617557352941</v>
      </c>
    </row>
    <row r="24" spans="1:10" x14ac:dyDescent="0.3">
      <c r="A24" t="s">
        <v>14</v>
      </c>
      <c r="B24">
        <v>1</v>
      </c>
      <c r="C24">
        <v>32165</v>
      </c>
      <c r="D24">
        <v>44.338338195402301</v>
      </c>
      <c r="E24">
        <v>44.494023443181817</v>
      </c>
    </row>
    <row r="25" spans="1:10" x14ac:dyDescent="0.3">
      <c r="A25" t="s">
        <v>14</v>
      </c>
      <c r="B25">
        <v>5</v>
      </c>
      <c r="C25">
        <v>32165</v>
      </c>
      <c r="D25">
        <v>61.406965645161293</v>
      </c>
      <c r="E25">
        <v>62.970772612903225</v>
      </c>
      <c r="H25" t="s">
        <v>22</v>
      </c>
      <c r="I25">
        <f>AVERAGE(D18:D33)</f>
        <v>52.04626240913867</v>
      </c>
      <c r="J25">
        <f>AVERAGE(E18:E33)</f>
        <v>53.214438020654868</v>
      </c>
    </row>
    <row r="26" spans="1:10" x14ac:dyDescent="0.3">
      <c r="A26" t="s">
        <v>14</v>
      </c>
      <c r="B26">
        <v>10</v>
      </c>
      <c r="C26">
        <v>32165</v>
      </c>
      <c r="D26">
        <v>53.487024455882356</v>
      </c>
      <c r="E26">
        <v>56.806978926470585</v>
      </c>
    </row>
    <row r="27" spans="1:10" x14ac:dyDescent="0.3">
      <c r="A27" t="s">
        <v>14</v>
      </c>
      <c r="B27">
        <v>1</v>
      </c>
      <c r="C27">
        <v>98751</v>
      </c>
      <c r="D27">
        <v>44.526783999999999</v>
      </c>
      <c r="E27">
        <v>44.046337022727272</v>
      </c>
    </row>
    <row r="28" spans="1:10" x14ac:dyDescent="0.3">
      <c r="A28" t="s">
        <v>14</v>
      </c>
      <c r="B28">
        <v>5</v>
      </c>
      <c r="C28">
        <v>98751</v>
      </c>
      <c r="D28">
        <v>60.818240564516131</v>
      </c>
      <c r="E28">
        <v>63.027168532258059</v>
      </c>
    </row>
    <row r="29" spans="1:10" x14ac:dyDescent="0.3">
      <c r="A29" t="s">
        <v>14</v>
      </c>
      <c r="B29">
        <v>10</v>
      </c>
      <c r="C29">
        <v>98751</v>
      </c>
      <c r="D29">
        <v>53.405026985294114</v>
      </c>
      <c r="E29">
        <v>54.700853397058822</v>
      </c>
    </row>
    <row r="30" spans="1:10" x14ac:dyDescent="0.3">
      <c r="A30" t="s">
        <v>15</v>
      </c>
      <c r="B30">
        <v>3</v>
      </c>
      <c r="C30">
        <v>12345</v>
      </c>
      <c r="D30">
        <v>48.191437578947365</v>
      </c>
      <c r="E30">
        <v>51.19194242105263</v>
      </c>
    </row>
    <row r="31" spans="1:10" x14ac:dyDescent="0.3">
      <c r="A31" t="s">
        <v>15</v>
      </c>
      <c r="B31">
        <v>3</v>
      </c>
      <c r="C31">
        <v>13579</v>
      </c>
      <c r="D31">
        <v>50.209250766233765</v>
      </c>
      <c r="E31">
        <v>48.140685640000001</v>
      </c>
    </row>
    <row r="32" spans="1:10" x14ac:dyDescent="0.3">
      <c r="A32" t="s">
        <v>15</v>
      </c>
      <c r="B32">
        <v>3</v>
      </c>
      <c r="C32">
        <v>32165</v>
      </c>
      <c r="D32">
        <v>50.931728857142858</v>
      </c>
      <c r="E32">
        <v>51.888023842105262</v>
      </c>
    </row>
    <row r="33" spans="1:10" x14ac:dyDescent="0.3">
      <c r="A33" t="s">
        <v>15</v>
      </c>
      <c r="B33">
        <v>3</v>
      </c>
      <c r="C33">
        <v>98751</v>
      </c>
      <c r="D33">
        <v>48.358113960526317</v>
      </c>
      <c r="E33">
        <v>49.334617631578951</v>
      </c>
    </row>
    <row r="34" spans="1:10" x14ac:dyDescent="0.3">
      <c r="A34" t="s">
        <v>16</v>
      </c>
      <c r="B34">
        <v>1</v>
      </c>
      <c r="C34">
        <v>12345</v>
      </c>
      <c r="D34">
        <v>101.55869843589744</v>
      </c>
      <c r="E34">
        <v>100.95264092307691</v>
      </c>
    </row>
    <row r="35" spans="1:10" x14ac:dyDescent="0.3">
      <c r="A35" t="s">
        <v>16</v>
      </c>
      <c r="B35">
        <v>10</v>
      </c>
      <c r="C35">
        <v>12345</v>
      </c>
      <c r="D35">
        <v>118.65829515625001</v>
      </c>
      <c r="E35">
        <v>123.43097771875</v>
      </c>
    </row>
    <row r="36" spans="1:10" x14ac:dyDescent="0.3">
      <c r="A36" t="s">
        <v>16</v>
      </c>
      <c r="B36">
        <v>1</v>
      </c>
      <c r="C36">
        <v>13579</v>
      </c>
      <c r="D36">
        <v>96.021753815789481</v>
      </c>
      <c r="E36">
        <v>102.43158871794871</v>
      </c>
    </row>
    <row r="37" spans="1:10" x14ac:dyDescent="0.3">
      <c r="A37" t="s">
        <v>16</v>
      </c>
      <c r="B37">
        <v>10</v>
      </c>
      <c r="C37">
        <v>13579</v>
      </c>
      <c r="D37">
        <v>120.11213174193549</v>
      </c>
      <c r="E37">
        <v>124.62073316666667</v>
      </c>
    </row>
    <row r="38" spans="1:10" x14ac:dyDescent="0.3">
      <c r="A38" t="s">
        <v>16</v>
      </c>
      <c r="B38">
        <v>1</v>
      </c>
      <c r="C38">
        <v>32165</v>
      </c>
      <c r="D38">
        <v>101.57886271794871</v>
      </c>
      <c r="E38">
        <v>101.60752882051283</v>
      </c>
    </row>
    <row r="39" spans="1:10" x14ac:dyDescent="0.3">
      <c r="A39" t="s">
        <v>16</v>
      </c>
      <c r="B39">
        <v>10</v>
      </c>
      <c r="C39">
        <v>32165</v>
      </c>
      <c r="D39">
        <v>118.26378538709677</v>
      </c>
      <c r="E39">
        <v>124.56141235483872</v>
      </c>
    </row>
    <row r="40" spans="1:10" x14ac:dyDescent="0.3">
      <c r="A40" t="s">
        <v>16</v>
      </c>
      <c r="B40">
        <v>1</v>
      </c>
      <c r="C40">
        <v>98751</v>
      </c>
      <c r="D40">
        <v>95.096297973684202</v>
      </c>
      <c r="E40">
        <v>102.66970223076923</v>
      </c>
      <c r="H40" t="s">
        <v>23</v>
      </c>
      <c r="I40">
        <f>AVERAGE(D34:D49)</f>
        <v>105.85384617270526</v>
      </c>
      <c r="J40">
        <f>AVERAGE(E34:E48)</f>
        <v>111.21420907550177</v>
      </c>
    </row>
    <row r="41" spans="1:10" x14ac:dyDescent="0.3">
      <c r="A41" t="s">
        <v>16</v>
      </c>
      <c r="B41">
        <v>10</v>
      </c>
      <c r="C41">
        <v>98751</v>
      </c>
      <c r="D41">
        <v>121.7821194516129</v>
      </c>
      <c r="E41">
        <v>122.68494674193549</v>
      </c>
    </row>
    <row r="42" spans="1:10" x14ac:dyDescent="0.3">
      <c r="A42" t="s">
        <v>17</v>
      </c>
      <c r="B42">
        <v>2</v>
      </c>
      <c r="C42">
        <v>12345</v>
      </c>
      <c r="D42">
        <v>94.768957564102564</v>
      </c>
      <c r="E42">
        <v>101.98878878947369</v>
      </c>
    </row>
    <row r="43" spans="1:10" x14ac:dyDescent="0.3">
      <c r="A43" t="s">
        <v>17</v>
      </c>
      <c r="B43">
        <v>2</v>
      </c>
      <c r="C43">
        <v>13579</v>
      </c>
      <c r="D43">
        <v>95.054054948717948</v>
      </c>
      <c r="E43">
        <v>107.81826016216216</v>
      </c>
    </row>
    <row r="44" spans="1:10" x14ac:dyDescent="0.3">
      <c r="A44" t="s">
        <v>17</v>
      </c>
      <c r="B44">
        <v>2</v>
      </c>
      <c r="C44">
        <v>32165</v>
      </c>
      <c r="D44">
        <v>95.516902692307696</v>
      </c>
      <c r="E44">
        <v>103.00346263157896</v>
      </c>
    </row>
    <row r="45" spans="1:10" x14ac:dyDescent="0.3">
      <c r="A45" t="s">
        <v>17</v>
      </c>
      <c r="B45">
        <v>2</v>
      </c>
      <c r="C45">
        <v>98751</v>
      </c>
      <c r="D45">
        <v>95.172507525</v>
      </c>
      <c r="E45">
        <v>101.50466137837837</v>
      </c>
    </row>
    <row r="46" spans="1:10" x14ac:dyDescent="0.3">
      <c r="A46" t="s">
        <v>18</v>
      </c>
      <c r="B46">
        <v>5</v>
      </c>
      <c r="C46">
        <v>12345</v>
      </c>
      <c r="D46">
        <v>110.50116761764706</v>
      </c>
      <c r="E46">
        <v>115.19382887878788</v>
      </c>
    </row>
    <row r="47" spans="1:10" x14ac:dyDescent="0.3">
      <c r="A47" t="s">
        <v>18</v>
      </c>
      <c r="B47">
        <v>5</v>
      </c>
      <c r="C47">
        <v>13579</v>
      </c>
      <c r="D47">
        <v>111.69012091176469</v>
      </c>
      <c r="E47">
        <v>117.63767461764706</v>
      </c>
    </row>
    <row r="48" spans="1:10" x14ac:dyDescent="0.3">
      <c r="A48" t="s">
        <v>18</v>
      </c>
      <c r="B48">
        <v>5</v>
      </c>
      <c r="C48">
        <v>32165</v>
      </c>
      <c r="D48">
        <v>110.59928558823529</v>
      </c>
      <c r="E48">
        <v>118.10692899999999</v>
      </c>
    </row>
    <row r="49" spans="1:5" x14ac:dyDescent="0.3">
      <c r="A49" t="s">
        <v>18</v>
      </c>
      <c r="B49">
        <v>5</v>
      </c>
      <c r="C49">
        <v>98751</v>
      </c>
      <c r="D49">
        <v>107.28659723529412</v>
      </c>
      <c r="E49">
        <v>117.05834478787878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RanomInitialization</vt:lpstr>
      <vt:lpstr>NeighborhoodBasedInitialization</vt:lpstr>
      <vt:lpstr>SuccessRateComparison</vt:lpstr>
      <vt:lpstr>TimeComparison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2026-05-27T11:09:34Z</dcterms:created>
  <dcterms:modified xsi:type="dcterms:W3CDTF">2026-06-05T09:17:26Z</dcterms:modified>
</cp:coreProperties>
</file>